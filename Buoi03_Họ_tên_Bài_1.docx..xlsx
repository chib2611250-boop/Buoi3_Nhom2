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08" windowHeight="8400" firstSheet="1" activeTab="4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 tham chiếu và thống kê" sheetId="5" r:id="rId5"/>
    <sheet name="Sinh viên điểm &lt; 7" sheetId="6" r:id="rId6"/>
    <sheet name="Sinh viên điểm &gt;= 7" sheetId="7" r:id="rId7"/>
  </sheets>
  <definedNames>
    <definedName name="_xlnm._FilterDatabase" localSheetId="0" hidden="1">'Tổng hợp điểm'!$A$7:$K$20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<sst xmlns="http://schemas.openxmlformats.org/spreadsheetml/2006/main" count="240" uniqueCount="95">
  <si>
    <t>ĐIỂM THI HK1-2018-2019(CT428)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</si>
  <si>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</si>
  <si>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</si>
  <si>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</si>
  <si>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</si>
  <si>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</si>
  <si>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</si>
  <si>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</si>
  <si>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</si>
  <si>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</si>
  <si>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    T    T</t>
  </si>
  <si>
    <t>Mã SV</t>
  </si>
  <si>
    <t>Họ và Tên</t>
  </si>
  <si>
    <t>Điểm
TH1</t>
  </si>
  <si>
    <t>Điểm
TH2</t>
  </si>
  <si>
    <t>Điểm
TH3</t>
  </si>
  <si>
    <t>Điểm
BT
lớn</t>
  </si>
  <si>
    <t>Điểm
LT</t>
  </si>
  <si>
    <t>Điểm 
tổng</t>
  </si>
  <si>
    <t>Điểm
theo
thang
điểm
10</t>
  </si>
  <si>
    <t>Điểm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</si>
  <si>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</si>
  <si>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</si>
  <si>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</si>
  <si>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</si>
  <si>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</si>
  <si>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</si>
  <si>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</si>
  <si>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</si>
  <si>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</si>
  <si>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</si>
  <si>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</si>
  <si>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</si>
  <si>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</si>
  <si>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</si>
  <si>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</si>
  <si>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STT</t>
  </si>
  <si>
    <t>Họ và tên</t>
  </si>
  <si>
    <t>Điểm TH 1</t>
  </si>
  <si>
    <t>Điểm TH 2</t>
  </si>
  <si>
    <t>Điểm TH 3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</si>
  <si>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</si>
  <si>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</si>
  <si>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</si>
  <si>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</si>
  <si>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</si>
  <si>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</si>
  <si>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</si>
  <si>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</si>
  <si>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</si>
  <si>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</si>
  <si>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</si>
  <si>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</si>
  <si>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</si>
  <si>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</si>
  <si>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</si>
  <si>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</si>
  <si>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</si>
  <si>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</si>
  <si>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</si>
  <si>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</si>
  <si>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</si>
  <si>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</si>
  <si>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</si>
  <si>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</si>
  <si>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</si>
  <si>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</si>
  <si>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</si>
  <si>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</si>
  <si>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</si>
  <si>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</si>
  <si>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</si>
  <si>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Nguyễn Phước Hiếu</t>
  </si>
  <si>
    <t>Bảng quy đổi điểm</t>
  </si>
  <si>
    <t>Bảng Điểm Chuyên cần</t>
  </si>
  <si>
    <t>Điểm theo thang điểm 10</t>
  </si>
  <si>
    <t>Điểm chữ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</si>
  <si>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</si>
  <si>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</si>
  <si>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</si>
  <si>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</si>
  <si>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</si>
  <si>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</si>
  <si>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</si>
  <si>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</si>
  <si>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</si>
  <si>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</si>
  <si>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</si>
  <si>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</si>
  <si>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</si>
  <si>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 
viên</t>
  </si>
  <si>
    <t>Bảng thống kê SV</t>
  </si>
  <si>
    <t>Số sinh viên điểm BT</t>
  </si>
  <si>
    <t>lớn = 0 hoặc điểm LT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</si>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</sst>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4" tint="-0.25"/>
      <name val="Times New Roman"/>
      <charset val="134"/>
    </font>
    <font>
      <sz val="12"/>
      <color theme="1"/>
      <name val="Times New Roman"/>
      <charset val="134"/>
    </font>
    <font>
      <b/>
      <sz val="12"/>
      <color theme="4" tint="-0.25"/>
      <name val="Times New Roman"/>
      <charset val="134"/>
    </font>
    <font>
      <b/>
      <sz val="11"/>
      <color theme="4" tint="-0.25"/>
      <name val="Calibri"/>
      <charset val="134"/>
      <scheme val="minor"/>
    </font>
    <font>
      <b/>
      <sz val="12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6" borderId="1" xfId="0" applyFont="1" applyFill="1" applyBorder="1" applyAlignment="1">
      <alignment horizontal="justify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justify" vertical="center" wrapText="1"/>
    </xf>
    <xf numFmtId="0" fontId="8" fillId="6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Thống kê số lượng Sinh 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viên theo điểm chữ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07409224730128"/>
          <c:y val="0.0989690721649484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'Các bản tham chiếu và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 tham chiếu và thống kê'!$F$14:$F$21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</xdr:colOff>
      <xdr:row>27</xdr:row>
      <xdr:rowOff>99060</xdr:rowOff>
    </xdr:from>
    <xdr:to>
      <xdr:col>4</xdr:col>
      <xdr:colOff>1754505</xdr:colOff>
      <xdr:row>46</xdr:row>
      <xdr:rowOff>182245</xdr:rowOff>
    </xdr:to>
    <xdr:graphicFrame>
      <xdr:nvGraphicFramePr>
        <xdr:cNvPr id="4" name="Chart 3"/>
        <xdr:cNvGraphicFramePr/>
      </xdr:nvGraphicFramePr>
      <xdr:xfrm>
        <a:off x="1699260" y="5956300"/>
        <a:ext cx="5183505" cy="3832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opLeftCell="A4" workbookViewId="0">
      <pane xSplit="2" ySplit="3" topLeftCell="C7" activePane="bottomRight" state="frozen"/>
      <selection/>
      <selection pane="topRight"/>
      <selection pane="bottomLeft"/>
      <selection pane="bottomRight" activeCell="K6" sqref="K6"/>
    </sheetView>
  </sheetViews>
  <sheetFormatPr defaultColWidth="8.88888888888889" defaultRowHeight="14.4"/>
  <cols>
    <col min="1" max="1" width="3.66666666666667" customWidth="1"/>
    <col min="2" max="2" width="10.8888888888889" customWidth="1"/>
    <col min="3" max="3" width="16.6666666666667" customWidth="1"/>
    <col min="4" max="4" width="8.66666666666667" customWidth="1"/>
    <col min="5" max="5" width="7.44444444444444" customWidth="1"/>
    <col min="6" max="6" width="7.77777777777778" customWidth="1"/>
    <col min="7" max="7" width="7.11111111111111" customWidth="1"/>
    <col min="8" max="8" width="8.88888888888889" customWidth="1"/>
    <col min="9" max="9" width="8.33333333333333" customWidth="1"/>
    <col min="10" max="10" width="8.11111111111111" customWidth="1"/>
    <col min="11" max="11" width="8.66666666666667" customWidth="1"/>
  </cols>
  <sheetData>
    <row r="1" ht="17.4" spans="1:11">
      <c r="A1" s="32"/>
      <c r="B1" s="33" t="s">
        <v>0</v>
      </c>
      <c r="C1" s="33"/>
      <c r="D1" s="33"/>
      <c r="E1" s="33"/>
      <c r="F1" s="33"/>
      <c r="G1" s="33"/>
      <c r="H1" s="33"/>
    </row>
    <row r="2" spans="1:11">
      <c r="B2" s="2" t="s">
        <v>1</v>
      </c>
      <c r="C2" s="34">
        <v>1043</v>
      </c>
      <c r="D2" s="35" t="s">
        <v>2</v>
      </c>
      <c r="E2" s="35"/>
      <c r="F2" s="35" t="s">
        <v>3</v>
      </c>
      <c r="G2" s="35"/>
      <c r="H2" s="35"/>
    </row>
    <row r="3" spans="1:11">
      <c r="B3" s="35" t="s">
        <v>4</v>
      </c>
      <c r="C3" s="2" t="s">
        <v>5</v>
      </c>
      <c r="D3" s="35" t="s">
        <v>6</v>
      </c>
      <c r="E3" s="35"/>
      <c r="F3" s="35">
        <v>8</v>
      </c>
      <c r="G3" s="35"/>
      <c r="H3" s="35"/>
    </row>
    <row r="4" ht="15" customHeight="1" spans="1:11">
      <c r="B4" s="36" t="s">
        <v>7</v>
      </c>
      <c r="C4" s="2" t="s">
        <v>8</v>
      </c>
      <c r="D4" s="35" t="s">
        <v>9</v>
      </c>
      <c r="E4" s="35"/>
      <c r="F4" s="35">
        <v>1</v>
      </c>
      <c r="G4" s="35"/>
      <c r="H4" s="35"/>
    </row>
    <row r="5" ht="17" customHeight="1"/>
    <row r="6" ht="91" customHeight="1" spans="1:11">
      <c r="A6" s="37" t="s">
        <v>10</v>
      </c>
      <c r="B6" s="37" t="s">
        <v>11</v>
      </c>
      <c r="C6" s="38" t="s">
        <v>12</v>
      </c>
      <c r="D6" s="39" t="s">
        <v>13</v>
      </c>
      <c r="E6" s="40" t="s">
        <v>14</v>
      </c>
      <c r="F6" s="39" t="s">
        <v>15</v>
      </c>
      <c r="G6" s="39" t="s">
        <v>16</v>
      </c>
      <c r="H6" s="40" t="s">
        <v>17</v>
      </c>
      <c r="I6" s="40" t="s">
        <v>18</v>
      </c>
      <c r="J6" s="40" t="s">
        <v>19</v>
      </c>
      <c r="K6" s="40" t="s">
        <v>20</v>
      </c>
    </row>
    <row r="7" spans="1:11">
      <c r="A7" s="1">
        <v>1</v>
      </c>
      <c r="B7" s="6" t="s">
        <v>21</v>
      </c>
      <c r="C7" s="3" t="str">
        <f>VLOOKUP(RIGHT(B7,8),'Các bản tham chiếu và thống kê'!B:C,2,FALSE)</f>
        <v>Nguyễn Văn Hiếu</v>
      </c>
      <c r="D7" s="3">
        <f>VLOOKUP(RIGHT(B7,8),'Điểm thực hành các buổi'!B:F,3,FALSE)</f>
        <v>0.45</v>
      </c>
      <c r="E7" s="3">
        <f>VLOOKUP(RIGHT(B7,8),'Điểm thực hành các buổi'!B:F,4,FALSE)</f>
        <v>0.25</v>
      </c>
      <c r="F7" s="3">
        <f>VLOOKUP(RIGHT(B7,8),'Điểm thực hành các buổi'!B:F,5,FALSE)</f>
        <v>0.3</v>
      </c>
      <c r="G7" s="3">
        <f>VLOOKUP(RIGHT(B7,8),'Điểm bài tập lớn'!B:D,3,FALSE)</f>
        <v>0.5</v>
      </c>
      <c r="H7" s="3">
        <f>VLOOKUP(RIGHT(B7,8),'Điểm lý thuyết'!B:D,3,FALSE)</f>
        <v>4.2</v>
      </c>
      <c r="I7" s="3">
        <f>IF(H7=-3,0,ROUND(D7+E7+F7+G7+0.6*H7,1))</f>
        <v>4</v>
      </c>
      <c r="J7" s="4">
        <f>IF(OR(G7=0,VALUE(LEFT(B7,1))&gt;2),0,ROUND(I7+VLOOKUP(VALUE(LEFT(B7,1)),'Các bản tham chiếu và thống kê'!$E$3:$F$5,2,FALSE),1))</f>
        <v>5</v>
      </c>
      <c r="K7" s="4" t="str">
        <f>VLOOKUP(J7,'Các bản tham chiếu và thống kê'!$A$3:$C$10,2,TRUE)</f>
        <v>D+</v>
      </c>
    </row>
    <row r="8" spans="1:11">
      <c r="A8" s="1">
        <v>2</v>
      </c>
      <c r="B8" s="3" t="s">
        <v>22</v>
      </c>
      <c r="C8" s="3" t="str">
        <f>VLOOKUP(RIGHT(B8,8),'Các bản tham chiếu và thống kê'!B:C,2,FALSE)</f>
        <v>Lý Minh Trí</v>
      </c>
      <c r="D8" s="3">
        <f>VLOOKUP(RIGHT(B8,8),'Điểm thực hành các buổi'!B:F,3,FALSE)</f>
        <v>0.5</v>
      </c>
      <c r="E8" s="3">
        <f>VLOOKUP(RIGHT(B8,8),'Điểm thực hành các buổi'!B:F,4,FALSE)</f>
        <v>0.35</v>
      </c>
      <c r="F8" s="3">
        <f>VLOOKUP(RIGHT(B8,8),'Điểm thực hành các buổi'!B:F,5,FALSE)</f>
        <v>0.4</v>
      </c>
      <c r="G8" s="3">
        <f>VLOOKUP(RIGHT(B8,8),'Điểm bài tập lớn'!B:D,3,FALSE)</f>
        <v>1</v>
      </c>
      <c r="H8" s="3">
        <f>VLOOKUP(RIGHT(B8,8),'Điểm lý thuyết'!B:D,3,FALSE)</f>
        <v>5.8</v>
      </c>
      <c r="I8" s="3">
        <f t="shared" ref="I8:I20" si="0">IF(H8=-3,0,ROUND(D8+E8+F8+G8+0.6*H8,1))</f>
        <v>5.7</v>
      </c>
      <c r="J8" s="4">
        <f>IF(OR(G8=0,VALUE(LEFT(B8,1))&gt;2),0,ROUND(I8+VLOOKUP(VALUE(LEFT(B8,1)),'Các bản tham chiếu và thống kê'!$E$3:$F$5,2,FALSE),1))</f>
        <v>6.2</v>
      </c>
      <c r="K8" s="4" t="str">
        <f>VLOOKUP(J8,'Các bản tham chiếu và thống kê'!$A$3:$C$10,2,TRUE)</f>
        <v>C</v>
      </c>
    </row>
    <row r="9" spans="1:11">
      <c r="A9" s="1">
        <v>3</v>
      </c>
      <c r="B9" s="2" t="s">
        <v>23</v>
      </c>
      <c r="C9" s="3" t="str">
        <f>VLOOKUP(RIGHT(B9,8),'Các bản tham chiếu và thống kê'!B:C,2,FALSE)</f>
        <v>Nguyễn Kiều Mi</v>
      </c>
      <c r="D9" s="3">
        <f>VLOOKUP(RIGHT(B9,8),'Điểm thực hành các buổi'!B:F,3,FALSE)</f>
        <v>0.25</v>
      </c>
      <c r="E9" s="3">
        <f>VLOOKUP(RIGHT(B9,8),'Điểm thực hành các buổi'!B:F,4,FALSE)</f>
        <v>0.25</v>
      </c>
      <c r="F9" s="3">
        <f>VLOOKUP(RIGHT(B9,8),'Điểm thực hành các buổi'!B:F,5,FALSE)</f>
        <v>0.3</v>
      </c>
      <c r="G9" s="3">
        <f>VLOOKUP(RIGHT(B9,8),'Điểm bài tập lớn'!B:D,3,FALSE)</f>
        <v>0.5</v>
      </c>
      <c r="H9" s="3">
        <f>VLOOKUP(RIGHT(B9,8),'Điểm lý thuyết'!B:D,3,FALSE)</f>
        <v>5.8</v>
      </c>
      <c r="I9" s="3">
        <f t="shared" si="0"/>
        <v>4.8</v>
      </c>
      <c r="J9" s="4">
        <f>IF(OR(G9=0,VALUE(LEFT(B9,1))&gt;2),0,ROUND(I9+VLOOKUP(VALUE(LEFT(B9,1)),'Các bản tham chiếu và thống kê'!$E$3:$F$5,2,FALSE),1))</f>
        <v>5.8</v>
      </c>
      <c r="K9" s="4" t="str">
        <f>VLOOKUP(J9,'Các bản tham chiếu và thống kê'!$A$3:$C$10,2,TRUE)</f>
        <v>C</v>
      </c>
    </row>
    <row r="10" spans="1:11">
      <c r="A10" s="1">
        <v>4</v>
      </c>
      <c r="B10" s="2" t="s">
        <v>24</v>
      </c>
      <c r="C10" s="3" t="str">
        <f>VLOOKUP(RIGHT(B10,8),'Các bản tham chiếu và thống kê'!B:C,2,FALSE)</f>
        <v>Đặng Duy Linh</v>
      </c>
      <c r="D10" s="3">
        <f>VLOOKUP(RIGHT(B10,8),'Điểm thực hành các buổi'!B:F,3,FALSE)</f>
        <v>0.4</v>
      </c>
      <c r="E10" s="3">
        <f>VLOOKUP(RIGHT(B10,8),'Điểm thực hành các buổi'!B:F,4,FALSE)</f>
        <v>0.25</v>
      </c>
      <c r="F10" s="3">
        <f>VLOOKUP(RIGHT(B10,8),'Điểm thực hành các buổi'!B:F,5,FALSE)</f>
        <v>0.35</v>
      </c>
      <c r="G10" s="3">
        <f>VLOOKUP(RIGHT(B10,8),'Điểm bài tập lớn'!B:D,3,FALSE)</f>
        <v>1</v>
      </c>
      <c r="H10" s="3">
        <f>VLOOKUP(RIGHT(B10,8),'Điểm lý thuyết'!B:D,3,FALSE)</f>
        <v>4.5</v>
      </c>
      <c r="I10" s="3">
        <f t="shared" si="0"/>
        <v>4.7</v>
      </c>
      <c r="J10" s="4">
        <f>IF(OR(G10=0,VALUE(LEFT(B10,1))&gt;2),0,ROUND(I10+VLOOKUP(VALUE(LEFT(B10,1)),'Các bản tham chiếu và thống kê'!$E$3:$F$5,2,FALSE),1))</f>
        <v>5.7</v>
      </c>
      <c r="K10" s="4" t="str">
        <f>VLOOKUP(J10,'Các bản tham chiếu và thống kê'!$A$3:$C$10,2,TRUE)</f>
        <v>C</v>
      </c>
    </row>
    <row r="11" spans="1:11">
      <c r="A11" s="1">
        <v>5</v>
      </c>
      <c r="B11" s="2" t="s">
        <v>25</v>
      </c>
      <c r="C11" s="3" t="str">
        <f>VLOOKUP(RIGHT(B11,8),'Các bản tham chiếu và thống kê'!B:C,2,FALSE)</f>
        <v>Lê Thị Trúc Linh</v>
      </c>
      <c r="D11" s="3">
        <f>VLOOKUP(RIGHT(B11,8),'Điểm thực hành các buổi'!B:F,3,FALSE)</f>
        <v>0.45</v>
      </c>
      <c r="E11" s="3">
        <f>VLOOKUP(RIGHT(B11,8),'Điểm thực hành các buổi'!B:F,4,FALSE)</f>
        <v>0.4</v>
      </c>
      <c r="F11" s="3">
        <f>VLOOKUP(RIGHT(B11,8),'Điểm thực hành các buổi'!B:F,5,FALSE)</f>
        <v>0.35</v>
      </c>
      <c r="G11" s="3">
        <f>VLOOKUP(RIGHT(B11,8),'Điểm bài tập lớn'!B:D,3,FALSE)</f>
        <v>0.75</v>
      </c>
      <c r="H11" s="3">
        <f>VLOOKUP(RIGHT(B11,8),'Điểm lý thuyết'!B:D,3,FALSE)</f>
        <v>5.5</v>
      </c>
      <c r="I11" s="3">
        <f t="shared" si="0"/>
        <v>5.3</v>
      </c>
      <c r="J11" s="4">
        <f>IF(OR(G11=0,VALUE(LEFT(B11,1))&gt;2),0,ROUND(I11+VLOOKUP(VALUE(LEFT(B11,1)),'Các bản tham chiếu và thống kê'!$E$3:$F$5,2,FALSE),1))</f>
        <v>5.6</v>
      </c>
      <c r="K11" s="4" t="str">
        <f>VLOOKUP(J11,'Các bản tham chiếu và thống kê'!$A$3:$C$10,2,TRUE)</f>
        <v>C</v>
      </c>
    </row>
    <row r="12" spans="1:11">
      <c r="A12" s="1">
        <v>6</v>
      </c>
      <c r="B12" s="2" t="s">
        <v>26</v>
      </c>
      <c r="C12" s="3" t="str">
        <f>VLOOKUP(RIGHT(B12,8),'Các bản tham chiếu và thống kê'!B:C,2,FALSE)</f>
        <v>Phạm Thị Huỳnh</v>
      </c>
      <c r="D12" s="3">
        <f>VLOOKUP(RIGHT(B12,8),'Điểm thực hành các buổi'!B:F,3,FALSE)</f>
        <v>0.4</v>
      </c>
      <c r="E12" s="3">
        <f>VLOOKUP(RIGHT(B12,8),'Điểm thực hành các buổi'!B:F,4,FALSE)</f>
        <v>0.45</v>
      </c>
      <c r="F12" s="3">
        <f>VLOOKUP(RIGHT(B12,8),'Điểm thực hành các buổi'!B:F,5,FALSE)</f>
        <v>0.5</v>
      </c>
      <c r="G12" s="3">
        <f>VLOOKUP(RIGHT(B12,8),'Điểm bài tập lớn'!B:D,3,FALSE)</f>
        <v>1.2</v>
      </c>
      <c r="H12" s="3">
        <f>VLOOKUP(RIGHT(B12,8),'Điểm lý thuyết'!B:D,3,FALSE)</f>
        <v>7.5</v>
      </c>
      <c r="I12" s="3">
        <f t="shared" si="0"/>
        <v>7.1</v>
      </c>
      <c r="J12" s="4">
        <f>IF(OR(G12=0,VALUE(LEFT(B12,1))&gt;2),0,ROUND(I12+VLOOKUP(VALUE(LEFT(B12,1)),'Các bản tham chiếu và thống kê'!$E$3:$F$5,2,FALSE),1))</f>
        <v>8.1</v>
      </c>
      <c r="K12" s="4" t="str">
        <f>VLOOKUP(J12,'Các bản tham chiếu và thống kê'!$A$3:$C$10,2,TRUE)</f>
        <v>B+</v>
      </c>
    </row>
    <row r="13" spans="1:11">
      <c r="A13" s="1">
        <v>7</v>
      </c>
      <c r="B13" s="2" t="s">
        <v>27</v>
      </c>
      <c r="C13" s="3" t="str">
        <f>VLOOKUP(RIGHT(B13,8),'Các bản tham chiếu và thống kê'!B:C,2,FALSE)</f>
        <v>Lê Minh Thông</v>
      </c>
      <c r="D13" s="3">
        <f>VLOOKUP(RIGHT(B13,8),'Điểm thực hành các buổi'!B:F,3,FALSE)</f>
        <v>0.4</v>
      </c>
      <c r="E13" s="3">
        <f>VLOOKUP(RIGHT(B13,8),'Điểm thực hành các buổi'!B:F,4,FALSE)</f>
        <v>0.4</v>
      </c>
      <c r="F13" s="3">
        <f>VLOOKUP(RIGHT(B13,8),'Điểm thực hành các buổi'!B:F,5,FALSE)</f>
        <v>0.4</v>
      </c>
      <c r="G13" s="3">
        <f>VLOOKUP(RIGHT(B13,8),'Điểm bài tập lớn'!B:D,3,FALSE)</f>
        <v>1</v>
      </c>
      <c r="H13" s="3">
        <f>VLOOKUP(RIGHT(B13,8),'Điểm lý thuyết'!B:D,3,FALSE)</f>
        <v>5.3</v>
      </c>
      <c r="I13" s="3">
        <f t="shared" si="0"/>
        <v>5.4</v>
      </c>
      <c r="J13" s="4">
        <f>IF(OR(G13=0,VALUE(LEFT(B13,1))&gt;2),0,ROUND(I13+VLOOKUP(VALUE(LEFT(B13,1)),'Các bản tham chiếu và thống kê'!$E$3:$F$5,2,FALSE),1))</f>
        <v>6.4</v>
      </c>
      <c r="K13" s="4" t="str">
        <f>VLOOKUP(J13,'Các bản tham chiếu và thống kê'!$A$3:$C$10,2,TRUE)</f>
        <v>C</v>
      </c>
    </row>
    <row r="14" spans="1:11">
      <c r="A14" s="1">
        <v>8</v>
      </c>
      <c r="B14" s="2" t="s">
        <v>28</v>
      </c>
      <c r="C14" s="3" t="str">
        <f>VLOOKUP(RIGHT(B14,8),'Các bản tham chiếu và thống kê'!B:C,2,FALSE)</f>
        <v>Huỳnh Thị Diễm</v>
      </c>
      <c r="D14" s="3">
        <f>VLOOKUP(RIGHT(B14,8),'Điểm thực hành các buổi'!B:F,3,FALSE)</f>
        <v>0.45</v>
      </c>
      <c r="E14" s="3">
        <f>VLOOKUP(RIGHT(B14,8),'Điểm thực hành các buổi'!B:F,4,FALSE)</f>
        <v>0.4</v>
      </c>
      <c r="F14" s="3">
        <f>VLOOKUP(RIGHT(B14,8),'Điểm thực hành các buổi'!B:F,5,FALSE)</f>
        <v>0.45</v>
      </c>
      <c r="G14" s="3">
        <f>VLOOKUP(RIGHT(B14,8),'Điểm bài tập lớn'!B:D,3,FALSE)</f>
        <v>0</v>
      </c>
      <c r="H14" s="3">
        <f>VLOOKUP(RIGHT(B14,8),'Điểm lý thuyết'!B:D,3,FALSE)</f>
        <v>6.8</v>
      </c>
      <c r="I14" s="3">
        <f t="shared" si="0"/>
        <v>5.4</v>
      </c>
      <c r="J14" s="4">
        <f>IF(OR(G14=0,VALUE(LEFT(B14,1))&gt;2),0,ROUND(I14+VLOOKUP(VALUE(LEFT(B14,1)),'Các bản tham chiếu và thống kê'!$E$3:$F$5,2,FALSE),1))</f>
        <v>0</v>
      </c>
      <c r="K14" s="4" t="str">
        <f>VLOOKUP(J14,'Các bản tham chiếu và thống kê'!$A$3:$C$10,2,TRUE)</f>
        <v>F</v>
      </c>
    </row>
    <row r="15" spans="1:11">
      <c r="A15" s="1">
        <v>9</v>
      </c>
      <c r="B15" s="2" t="s">
        <v>29</v>
      </c>
      <c r="C15" s="3" t="str">
        <f>VLOOKUP(RIGHT(B15,8),'Các bản tham chiếu và thống kê'!B:C,2,FALSE)</f>
        <v>Trần Thanh Nguyên</v>
      </c>
      <c r="D15" s="3">
        <f>VLOOKUP(RIGHT(B15,8),'Điểm thực hành các buổi'!B:F,3,FALSE)</f>
        <v>0.45</v>
      </c>
      <c r="E15" s="3">
        <f>VLOOKUP(RIGHT(B15,8),'Điểm thực hành các buổi'!B:F,4,FALSE)</f>
        <v>0.4</v>
      </c>
      <c r="F15" s="3">
        <f>VLOOKUP(RIGHT(B15,8),'Điểm thực hành các buổi'!B:F,5,FALSE)</f>
        <v>0.4</v>
      </c>
      <c r="G15" s="3">
        <f>VLOOKUP(RIGHT(B15,8),'Điểm bài tập lớn'!B:D,3,FALSE)</f>
        <v>0.75</v>
      </c>
      <c r="H15" s="3">
        <f>VLOOKUP(RIGHT(B15,8),'Điểm lý thuyết'!B:D,3,FALSE)</f>
        <v>6.3</v>
      </c>
      <c r="I15" s="3">
        <f t="shared" si="0"/>
        <v>5.8</v>
      </c>
      <c r="J15" s="4">
        <f>IF(OR(G15=0,VALUE(LEFT(B15,1))&gt;2),0,ROUND(I15+VLOOKUP(VALUE(LEFT(B15,1)),'Các bản tham chiếu và thống kê'!$E$3:$F$5,2,FALSE),1))</f>
        <v>6.8</v>
      </c>
      <c r="K15" s="4" t="str">
        <f>VLOOKUP(J15,'Các bản tham chiếu và thống kê'!$A$3:$C$10,2,TRUE)</f>
        <v>C+</v>
      </c>
    </row>
    <row r="16" spans="1:11">
      <c r="A16" s="1">
        <v>10</v>
      </c>
      <c r="B16" s="2" t="s">
        <v>30</v>
      </c>
      <c r="C16" s="3" t="str">
        <f>VLOOKUP(RIGHT(B16,8),'Các bản tham chiếu và thống kê'!B:C,2,FALSE)</f>
        <v>Nguyễn Thị Đào</v>
      </c>
      <c r="D16" s="3">
        <f>VLOOKUP(RIGHT(B16,8),'Điểm thực hành các buổi'!B:F,3,FALSE)</f>
        <v>0.3</v>
      </c>
      <c r="E16" s="3">
        <f>VLOOKUP(RIGHT(B16,8),'Điểm thực hành các buổi'!B:F,4,FALSE)</f>
        <v>0.5</v>
      </c>
      <c r="F16" s="3">
        <f>VLOOKUP(RIGHT(B16,8),'Điểm thực hành các buổi'!B:F,5,FALSE)</f>
        <v>0.45</v>
      </c>
      <c r="G16" s="3">
        <f>VLOOKUP(RIGHT(B16,8),'Điểm bài tập lớn'!B:D,3,FALSE)</f>
        <v>0.3</v>
      </c>
      <c r="H16" s="3">
        <f>VLOOKUP(RIGHT(B16,8),'Điểm lý thuyết'!B:D,3,FALSE)</f>
        <v>8.3</v>
      </c>
      <c r="I16" s="3">
        <f t="shared" si="0"/>
        <v>6.5</v>
      </c>
      <c r="J16" s="4">
        <f>IF(OR(G16=0,VALUE(LEFT(B16,1))&gt;2),0,ROUND(I16+VLOOKUP(VALUE(LEFT(B16,1)),'Các bản tham chiếu và thống kê'!$E$3:$F$5,2,FALSE),1))</f>
        <v>7</v>
      </c>
      <c r="K16" s="4" t="str">
        <f>VLOOKUP(J16,'Các bản tham chiếu và thống kê'!$A$3:$C$10,2,TRUE)</f>
        <v>B</v>
      </c>
    </row>
    <row r="17" spans="1:11">
      <c r="A17" s="1">
        <v>11</v>
      </c>
      <c r="B17" s="2" t="s">
        <v>31</v>
      </c>
      <c r="C17" s="3" t="str">
        <f>VLOOKUP(RIGHT(B17,8),'Các bản tham chiếu và thống kê'!B:C,2,FALSE)</f>
        <v>Nguyễn Chí Thanh</v>
      </c>
      <c r="D17" s="3">
        <f>VLOOKUP(RIGHT(B17,8),'Điểm thực hành các buổi'!B:F,3,FALSE)</f>
        <v>0.4</v>
      </c>
      <c r="E17" s="3">
        <f>VLOOKUP(RIGHT(B17,8),'Điểm thực hành các buổi'!B:F,4,FALSE)</f>
        <v>0.45</v>
      </c>
      <c r="F17" s="3">
        <f>VLOOKUP(RIGHT(B17,8),'Điểm thực hành các buổi'!B:F,5,FALSE)</f>
        <v>0.4</v>
      </c>
      <c r="G17" s="3">
        <f>VLOOKUP(RIGHT(B17,8),'Điểm bài tập lớn'!B:D,3,FALSE)</f>
        <v>0.3</v>
      </c>
      <c r="H17" s="3">
        <f>VLOOKUP(RIGHT(B17,8),'Điểm lý thuyết'!B:D,3,FALSE)</f>
        <v>-3</v>
      </c>
      <c r="I17" s="3">
        <f t="shared" si="0"/>
        <v>0</v>
      </c>
      <c r="J17" s="4">
        <f>IF(OR(G17=0,VALUE(LEFT(B17,1))&gt;2),0,ROUND(I17+VLOOKUP(VALUE(LEFT(B17,1)),'Các bản tham chiếu và thống kê'!$E$3:$F$5,2,FALSE),1))</f>
        <v>0</v>
      </c>
      <c r="K17" s="4" t="str">
        <f>VLOOKUP(J17,'Các bản tham chiếu và thống kê'!$A$3:$C$10,2,TRUE)</f>
        <v>F</v>
      </c>
    </row>
    <row r="18" spans="1:11">
      <c r="A18" s="1">
        <v>12</v>
      </c>
      <c r="B18" s="2" t="s">
        <v>32</v>
      </c>
      <c r="C18" s="3" t="str">
        <f>VLOOKUP(RIGHT(B18,8),'Các bản tham chiếu và thống kê'!B:C,2,FALSE)</f>
        <v>Nguyễn Hải Anh</v>
      </c>
      <c r="D18" s="3">
        <f>VLOOKUP(RIGHT(B18,8),'Điểm thực hành các buổi'!B:F,3,FALSE)</f>
        <v>0.5</v>
      </c>
      <c r="E18" s="3">
        <f>VLOOKUP(RIGHT(B18,8),'Điểm thực hành các buổi'!B:F,4,FALSE)</f>
        <v>0.5</v>
      </c>
      <c r="F18" s="3">
        <f>VLOOKUP(RIGHT(B18,8),'Điểm thực hành các buổi'!B:F,5,FALSE)</f>
        <v>0.45</v>
      </c>
      <c r="G18" s="3">
        <f>VLOOKUP(RIGHT(B18,8),'Điểm bài tập lớn'!B:D,3,FALSE)</f>
        <v>1.5</v>
      </c>
      <c r="H18" s="3">
        <f>VLOOKUP(RIGHT(B18,8),'Điểm lý thuyết'!B:D,3,FALSE)</f>
        <v>7</v>
      </c>
      <c r="I18" s="3">
        <f t="shared" si="0"/>
        <v>7.2</v>
      </c>
      <c r="J18" s="4">
        <f>IF(OR(G18=0,VALUE(LEFT(B18,1))&gt;2),0,ROUND(I18+VLOOKUP(VALUE(LEFT(B18,1)),'Các bản tham chiếu và thống kê'!$E$3:$F$5,2,FALSE),1))</f>
        <v>7.5</v>
      </c>
      <c r="K18" s="4" t="str">
        <f>VLOOKUP(J18,'Các bản tham chiếu và thống kê'!$A$3:$C$10,2,TRUE)</f>
        <v>B</v>
      </c>
    </row>
    <row r="19" spans="1:11">
      <c r="A19" s="1">
        <v>13</v>
      </c>
      <c r="B19" s="2" t="s">
        <v>33</v>
      </c>
      <c r="C19" s="3" t="str">
        <f>VLOOKUP(RIGHT(B19,8),'Các bản tham chiếu và thống kê'!B:C,2,FALSE)</f>
        <v>Trần Nam Dương</v>
      </c>
      <c r="D19" s="3">
        <f>VLOOKUP(RIGHT(B19,8),'Điểm thực hành các buổi'!B:F,3,FALSE)</f>
        <v>0.4</v>
      </c>
      <c r="E19" s="3">
        <f>VLOOKUP(RIGHT(B19,8),'Điểm thực hành các buổi'!B:F,4,FALSE)</f>
        <v>0.4</v>
      </c>
      <c r="F19" s="3">
        <f>VLOOKUP(RIGHT(B19,8),'Điểm thực hành các buổi'!B:F,5,FALSE)</f>
        <v>0.35</v>
      </c>
      <c r="G19" s="3">
        <f>VLOOKUP(RIGHT(B19,8),'Điểm bài tập lớn'!B:D,3,FALSE)</f>
        <v>1.35</v>
      </c>
      <c r="H19" s="3">
        <f>VLOOKUP(RIGHT(B19,8),'Điểm lý thuyết'!B:D,3,FALSE)</f>
        <v>-3</v>
      </c>
      <c r="I19" s="3">
        <f t="shared" si="0"/>
        <v>0</v>
      </c>
      <c r="J19" s="4">
        <f>IF(OR(G19=0,VALUE(LEFT(B19,1))&gt;2),0,ROUND(I19+VLOOKUP(VALUE(LEFT(B19,1)),'Các bản tham chiếu và thống kê'!$E$3:$F$5,2,FALSE),1))</f>
        <v>0</v>
      </c>
      <c r="K19" s="4" t="str">
        <f>VLOOKUP(J19,'Các bản tham chiếu và thống kê'!$A$3:$C$10,2,TRUE)</f>
        <v>F</v>
      </c>
    </row>
    <row r="20" spans="1:11">
      <c r="A20" s="1">
        <v>14</v>
      </c>
      <c r="B20" s="2" t="s">
        <v>34</v>
      </c>
      <c r="C20" s="3" t="str">
        <f>VLOOKUP(RIGHT(B20,8),'Các bản tham chiếu và thống kê'!B:C,2,FALSE)</f>
        <v>Nguyễn Duy Khanh</v>
      </c>
      <c r="D20" s="3">
        <f>VLOOKUP(RIGHT(B20,8),'Điểm thực hành các buổi'!B:F,3,FALSE)</f>
        <v>0.35</v>
      </c>
      <c r="E20" s="3">
        <f>VLOOKUP(RIGHT(B20,8),'Điểm thực hành các buổi'!B:F,4,FALSE)</f>
        <v>0.4</v>
      </c>
      <c r="F20" s="3">
        <f>VLOOKUP(RIGHT(B20,8),'Điểm thực hành các buổi'!B:F,5,FALSE)</f>
        <v>0</v>
      </c>
      <c r="G20" s="3">
        <f>VLOOKUP(RIGHT(B20,8),'Điểm bài tập lớn'!B:D,3,FALSE)</f>
        <v>0.85</v>
      </c>
      <c r="H20" s="3">
        <f>VLOOKUP(RIGHT(B20,8),'Điểm lý thuyết'!B:D,3,FALSE)</f>
        <v>6.5</v>
      </c>
      <c r="I20" s="3">
        <f t="shared" si="0"/>
        <v>5.5</v>
      </c>
      <c r="J20" s="4">
        <f>IF(OR(G20=0,VALUE(LEFT(B20,1))&gt;2),0,ROUND(I20+VLOOKUP(VALUE(LEFT(B20,1)),'Các bản tham chiếu và thống kê'!$E$3:$F$5,2,FALSE),1))</f>
        <v>6.5</v>
      </c>
      <c r="K20" s="4" t="str">
        <f>VLOOKUP(J20,'Các bản tham chiếu và thống kê'!$A$3:$C$10,2,TRUE)</f>
        <v>C+</v>
      </c>
    </row>
  </sheetData>
  <mergeCells count="7">
    <mergeCell ref="B1:H1"/>
    <mergeCell ref="D2:E2"/>
    <mergeCell ref="F2:H2"/>
    <mergeCell ref="D3:E3"/>
    <mergeCell ref="F3:H3"/>
    <mergeCell ref="D4:E4"/>
    <mergeCell ref="F4:H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2" sqref="G2"/>
    </sheetView>
  </sheetViews>
  <sheetFormatPr defaultColWidth="15.3333333333333" defaultRowHeight="14.4" outlineLevelCol="6"/>
  <cols>
    <col min="1" max="1" width="7.11111111111111" customWidth="1"/>
    <col min="2" max="2" width="11" customWidth="1"/>
    <col min="3" max="3" width="19.2222222222222" customWidth="1"/>
    <col min="4" max="16384" width="15.3333333333333" customWidth="1"/>
  </cols>
  <sheetData>
    <row r="1" ht="27" customHeight="1" spans="1:7">
      <c r="A1" s="29" t="s">
        <v>35</v>
      </c>
      <c r="B1" s="29"/>
      <c r="C1" s="29"/>
      <c r="D1" s="29"/>
      <c r="E1" s="29"/>
      <c r="F1" s="29"/>
      <c r="G1" s="30"/>
    </row>
    <row r="2" ht="15.6" spans="1:7">
      <c r="A2" s="29" t="s">
        <v>36</v>
      </c>
      <c r="B2" s="29" t="s">
        <v>11</v>
      </c>
      <c r="C2" s="29" t="s">
        <v>37</v>
      </c>
      <c r="D2" s="29" t="s">
        <v>38</v>
      </c>
      <c r="E2" s="29" t="s">
        <v>39</v>
      </c>
      <c r="F2" s="29" t="s">
        <v>40</v>
      </c>
      <c r="G2" s="31"/>
    </row>
    <row r="3" ht="15.6" spans="1:7">
      <c r="A3" s="8">
        <v>1</v>
      </c>
      <c r="B3" s="8" t="s">
        <v>41</v>
      </c>
      <c r="C3" s="12" t="s">
        <v>42</v>
      </c>
      <c r="D3" s="8">
        <v>0.45</v>
      </c>
      <c r="E3" s="8">
        <v>0.25</v>
      </c>
      <c r="F3" s="8">
        <v>0.3</v>
      </c>
    </row>
    <row r="4" ht="15.6" spans="1:7">
      <c r="A4" s="8">
        <v>2</v>
      </c>
      <c r="B4" s="8" t="s">
        <v>43</v>
      </c>
      <c r="C4" s="12" t="s">
        <v>44</v>
      </c>
      <c r="D4" s="8">
        <v>0.5</v>
      </c>
      <c r="E4" s="8">
        <v>0.35</v>
      </c>
      <c r="F4" s="8">
        <v>0.4</v>
      </c>
    </row>
    <row r="5" ht="15.6" spans="1:7">
      <c r="A5" s="8">
        <v>3</v>
      </c>
      <c r="B5" s="8" t="s">
        <v>45</v>
      </c>
      <c r="C5" s="12" t="s">
        <v>46</v>
      </c>
      <c r="D5" s="8">
        <v>0.25</v>
      </c>
      <c r="E5" s="8">
        <v>0.25</v>
      </c>
      <c r="F5" s="8">
        <v>0.3</v>
      </c>
    </row>
    <row r="6" ht="15.6" spans="1:7">
      <c r="A6" s="8">
        <v>4</v>
      </c>
      <c r="B6" s="8" t="s">
        <v>47</v>
      </c>
      <c r="C6" s="12" t="s">
        <v>48</v>
      </c>
      <c r="D6" s="8">
        <v>0.4</v>
      </c>
      <c r="E6" s="8">
        <v>0.25</v>
      </c>
      <c r="F6" s="8">
        <v>0.35</v>
      </c>
    </row>
    <row r="7" ht="15.6" spans="1:7">
      <c r="A7" s="8">
        <v>5</v>
      </c>
      <c r="B7" s="8" t="s">
        <v>49</v>
      </c>
      <c r="C7" s="12" t="s">
        <v>50</v>
      </c>
      <c r="D7" s="8">
        <v>0.45</v>
      </c>
      <c r="E7" s="8">
        <v>0.4</v>
      </c>
      <c r="F7" s="8">
        <v>0.35</v>
      </c>
    </row>
    <row r="8" ht="15.6" spans="1:7">
      <c r="A8" s="8">
        <v>6</v>
      </c>
      <c r="B8" s="8" t="s">
        <v>51</v>
      </c>
      <c r="C8" s="12" t="s">
        <v>52</v>
      </c>
      <c r="D8" s="8">
        <v>0.4</v>
      </c>
      <c r="E8" s="8">
        <v>0.45</v>
      </c>
      <c r="F8" s="8">
        <v>0.5</v>
      </c>
    </row>
    <row r="9" ht="15.6" spans="1:7">
      <c r="A9" s="8">
        <v>7</v>
      </c>
      <c r="B9" s="8" t="s">
        <v>53</v>
      </c>
      <c r="C9" s="12" t="s">
        <v>54</v>
      </c>
      <c r="D9" s="8">
        <v>0.4</v>
      </c>
      <c r="E9" s="8">
        <v>0.4</v>
      </c>
      <c r="F9" s="8">
        <v>0.4</v>
      </c>
    </row>
    <row r="10" ht="15.6" spans="1:7">
      <c r="A10" s="8">
        <v>8</v>
      </c>
      <c r="B10" s="8" t="s">
        <v>55</v>
      </c>
      <c r="C10" s="12" t="s">
        <v>56</v>
      </c>
      <c r="D10" s="8">
        <v>0.45</v>
      </c>
      <c r="E10" s="8">
        <v>0.4</v>
      </c>
      <c r="F10" s="8">
        <v>0.45</v>
      </c>
    </row>
    <row r="11" ht="15.6" spans="1:7">
      <c r="A11" s="8">
        <v>9</v>
      </c>
      <c r="B11" s="8" t="s">
        <v>57</v>
      </c>
      <c r="C11" s="12" t="s">
        <v>58</v>
      </c>
      <c r="D11" s="8">
        <v>0.45</v>
      </c>
      <c r="E11" s="8">
        <v>0.4</v>
      </c>
      <c r="F11" s="8">
        <v>0.4</v>
      </c>
    </row>
    <row r="12" ht="15.6" spans="1:7">
      <c r="A12" s="8">
        <v>10</v>
      </c>
      <c r="B12" s="8" t="s">
        <v>59</v>
      </c>
      <c r="C12" s="12" t="s">
        <v>60</v>
      </c>
      <c r="D12" s="8">
        <v>0.3</v>
      </c>
      <c r="E12" s="8">
        <v>0.5</v>
      </c>
      <c r="F12" s="8">
        <v>0.45</v>
      </c>
    </row>
    <row r="13" ht="15.6" spans="1:7">
      <c r="A13" s="8">
        <v>11</v>
      </c>
      <c r="B13" s="8" t="s">
        <v>61</v>
      </c>
      <c r="C13" s="12" t="s">
        <v>62</v>
      </c>
      <c r="D13" s="8">
        <v>0.4</v>
      </c>
      <c r="E13" s="8">
        <v>0.45</v>
      </c>
      <c r="F13" s="8">
        <v>0.4</v>
      </c>
    </row>
    <row r="14" ht="15.6" spans="1:7">
      <c r="A14" s="8">
        <v>12</v>
      </c>
      <c r="B14" s="8" t="s">
        <v>63</v>
      </c>
      <c r="C14" s="12" t="s">
        <v>64</v>
      </c>
      <c r="D14" s="8">
        <v>0.5</v>
      </c>
      <c r="E14" s="8">
        <v>0.5</v>
      </c>
      <c r="F14" s="8">
        <v>0.45</v>
      </c>
    </row>
    <row r="15" ht="15.6" spans="1:7">
      <c r="A15" s="8">
        <v>13</v>
      </c>
      <c r="B15" s="8" t="s">
        <v>65</v>
      </c>
      <c r="C15" s="12" t="s">
        <v>66</v>
      </c>
      <c r="D15" s="8">
        <v>0.4</v>
      </c>
      <c r="E15" s="8">
        <v>0.4</v>
      </c>
      <c r="F15" s="8">
        <v>0.35</v>
      </c>
    </row>
    <row r="16" ht="15.6" spans="1:7">
      <c r="A16" s="8">
        <v>14</v>
      </c>
      <c r="B16" s="8" t="s">
        <v>67</v>
      </c>
      <c r="C16" s="12" t="s">
        <v>68</v>
      </c>
      <c r="D16" s="8">
        <v>0.35</v>
      </c>
      <c r="E16" s="8">
        <v>0.4</v>
      </c>
      <c r="F16" s="8">
        <v>0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25" sqref="B25"/>
    </sheetView>
  </sheetViews>
  <sheetFormatPr defaultColWidth="18.8888888888889" defaultRowHeight="15.6" outlineLevelCol="3"/>
  <cols>
    <col min="1" max="1" width="14.4444444444444" style="9" customWidth="1"/>
    <col min="2" max="4" width="18.8888888888889" style="9" customWidth="1"/>
    <col min="5" max="16384" width="18.8888888888889" customWidth="1"/>
  </cols>
  <sheetData>
    <row r="1" ht="22" customHeight="1" spans="1:4">
      <c r="A1" s="28" t="s">
        <v>69</v>
      </c>
      <c r="B1" s="28"/>
      <c r="C1" s="28"/>
      <c r="D1" s="28"/>
    </row>
    <row r="2" spans="1:4">
      <c r="A2" s="29" t="s">
        <v>36</v>
      </c>
      <c r="B2" s="29" t="s">
        <v>11</v>
      </c>
      <c r="C2" s="29" t="s">
        <v>37</v>
      </c>
      <c r="D2" s="29" t="s">
        <v>70</v>
      </c>
    </row>
    <row r="3" spans="1:4">
      <c r="A3" s="8">
        <v>1</v>
      </c>
      <c r="B3" s="8" t="s">
        <v>41</v>
      </c>
      <c r="C3" s="8" t="s">
        <v>42</v>
      </c>
      <c r="D3" s="8">
        <v>0.5</v>
      </c>
    </row>
    <row r="4" spans="1:4">
      <c r="A4" s="8">
        <v>2</v>
      </c>
      <c r="B4" s="8" t="s">
        <v>43</v>
      </c>
      <c r="C4" s="8" t="s">
        <v>44</v>
      </c>
      <c r="D4" s="8">
        <v>1</v>
      </c>
    </row>
    <row r="5" spans="1:4">
      <c r="A5" s="8">
        <v>3</v>
      </c>
      <c r="B5" s="8" t="s">
        <v>45</v>
      </c>
      <c r="C5" s="8" t="s">
        <v>46</v>
      </c>
      <c r="D5" s="8">
        <v>0.5</v>
      </c>
    </row>
    <row r="6" spans="1:4">
      <c r="A6" s="8">
        <v>4</v>
      </c>
      <c r="B6" s="8" t="s">
        <v>47</v>
      </c>
      <c r="C6" s="8" t="s">
        <v>48</v>
      </c>
      <c r="D6" s="8">
        <v>1</v>
      </c>
    </row>
    <row r="7" spans="1:4">
      <c r="A7" s="8">
        <v>5</v>
      </c>
      <c r="B7" s="8" t="s">
        <v>49</v>
      </c>
      <c r="C7" s="8" t="s">
        <v>50</v>
      </c>
      <c r="D7" s="8">
        <v>0.75</v>
      </c>
    </row>
    <row r="8" spans="1:4">
      <c r="A8" s="8">
        <v>6</v>
      </c>
      <c r="B8" s="8" t="s">
        <v>51</v>
      </c>
      <c r="C8" s="8" t="s">
        <v>52</v>
      </c>
      <c r="D8" s="8">
        <v>1.2</v>
      </c>
    </row>
    <row r="9" spans="1:4">
      <c r="A9" s="8">
        <v>7</v>
      </c>
      <c r="B9" s="8" t="s">
        <v>53</v>
      </c>
      <c r="C9" s="8" t="s">
        <v>54</v>
      </c>
      <c r="D9" s="8">
        <v>1</v>
      </c>
    </row>
    <row r="10" spans="1:4">
      <c r="A10" s="8">
        <v>8</v>
      </c>
      <c r="B10" s="8" t="s">
        <v>55</v>
      </c>
      <c r="C10" s="8" t="s">
        <v>56</v>
      </c>
      <c r="D10" s="8">
        <v>0</v>
      </c>
    </row>
    <row r="11" spans="1:4">
      <c r="A11" s="8">
        <v>9</v>
      </c>
      <c r="B11" s="8" t="s">
        <v>57</v>
      </c>
      <c r="C11" s="8" t="s">
        <v>58</v>
      </c>
      <c r="D11" s="8">
        <v>0.75</v>
      </c>
    </row>
    <row r="12" spans="1:4">
      <c r="A12" s="8">
        <v>10</v>
      </c>
      <c r="B12" s="8" t="s">
        <v>59</v>
      </c>
      <c r="C12" s="8" t="s">
        <v>60</v>
      </c>
      <c r="D12" s="8">
        <v>0.3</v>
      </c>
    </row>
    <row r="13" spans="1:4">
      <c r="A13" s="8">
        <v>11</v>
      </c>
      <c r="B13" s="8" t="s">
        <v>61</v>
      </c>
      <c r="C13" s="8" t="s">
        <v>62</v>
      </c>
      <c r="D13" s="8">
        <v>0.3</v>
      </c>
    </row>
    <row r="14" spans="1:4">
      <c r="A14" s="8">
        <v>12</v>
      </c>
      <c r="B14" s="8" t="s">
        <v>63</v>
      </c>
      <c r="C14" s="8" t="s">
        <v>64</v>
      </c>
      <c r="D14" s="8">
        <v>1.5</v>
      </c>
    </row>
    <row r="15" spans="1:4">
      <c r="A15" s="8">
        <v>13</v>
      </c>
      <c r="B15" s="8" t="s">
        <v>65</v>
      </c>
      <c r="C15" s="8" t="s">
        <v>66</v>
      </c>
      <c r="D15" s="8">
        <v>1.35</v>
      </c>
    </row>
    <row r="16" spans="1:4">
      <c r="A16" s="8">
        <v>14</v>
      </c>
      <c r="B16" s="8" t="s">
        <v>67</v>
      </c>
      <c r="C16" s="8" t="s">
        <v>68</v>
      </c>
      <c r="D16" s="8">
        <v>0.85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E23" sqref="E23"/>
    </sheetView>
  </sheetViews>
  <sheetFormatPr defaultColWidth="8.88888888888889" defaultRowHeight="14.4"/>
  <cols>
    <col min="1" max="1" width="9.44444444444444" customWidth="1"/>
    <col min="2" max="2" width="21.2222222222222" customWidth="1"/>
    <col min="3" max="3" width="27.6666666666667" customWidth="1"/>
    <col min="4" max="4" width="22.2222222222222" customWidth="1"/>
  </cols>
  <sheetData>
    <row r="1" ht="15.6" spans="1:21">
      <c r="A1" s="26" t="s">
        <v>71</v>
      </c>
      <c r="B1" s="26"/>
      <c r="C1" s="26"/>
      <c r="D1" s="26"/>
      <c r="E1" s="27"/>
      <c r="F1" s="27"/>
      <c r="G1" s="27"/>
      <c r="H1" s="27"/>
      <c r="I1" s="27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15.6" spans="1:21">
      <c r="A2" s="26" t="s">
        <v>36</v>
      </c>
      <c r="B2" s="26" t="s">
        <v>11</v>
      </c>
      <c r="C2" s="26" t="s">
        <v>37</v>
      </c>
      <c r="D2" s="26" t="s">
        <v>71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ht="15.6" spans="1:21">
      <c r="A3" s="8">
        <v>1</v>
      </c>
      <c r="B3" s="8" t="s">
        <v>41</v>
      </c>
      <c r="C3" s="8" t="s">
        <v>72</v>
      </c>
      <c r="D3" s="8">
        <v>4.2</v>
      </c>
      <c r="E3" s="9"/>
      <c r="F3" s="9"/>
      <c r="G3" s="9"/>
      <c r="H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ht="15.6" spans="1:21">
      <c r="A4" s="8">
        <v>2</v>
      </c>
      <c r="B4" s="8" t="s">
        <v>43</v>
      </c>
      <c r="C4" s="8" t="s">
        <v>44</v>
      </c>
      <c r="D4" s="8">
        <v>5.8</v>
      </c>
      <c r="E4" s="9"/>
      <c r="F4" s="9"/>
      <c r="G4" s="9"/>
      <c r="H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ht="15.6" spans="1:21">
      <c r="A5" s="8">
        <v>3</v>
      </c>
      <c r="B5" s="8" t="s">
        <v>45</v>
      </c>
      <c r="C5" s="8" t="s">
        <v>46</v>
      </c>
      <c r="D5" s="8">
        <v>5.8</v>
      </c>
      <c r="E5" s="9"/>
      <c r="F5" s="9"/>
      <c r="G5" s="9"/>
      <c r="H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15.6" spans="1:21">
      <c r="A6" s="8">
        <v>4</v>
      </c>
      <c r="B6" s="8" t="s">
        <v>47</v>
      </c>
      <c r="C6" s="8" t="s">
        <v>48</v>
      </c>
      <c r="D6" s="8">
        <v>4.5</v>
      </c>
      <c r="E6" s="9"/>
      <c r="F6" s="9"/>
      <c r="G6" s="9"/>
      <c r="H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ht="15.6" spans="1:21">
      <c r="A7" s="8">
        <v>5</v>
      </c>
      <c r="B7" s="8" t="s">
        <v>49</v>
      </c>
      <c r="C7" s="8" t="s">
        <v>50</v>
      </c>
      <c r="D7" s="8">
        <v>5.5</v>
      </c>
      <c r="E7" s="9"/>
      <c r="F7" s="9"/>
      <c r="G7" s="9"/>
      <c r="H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ht="15.6" spans="1:21">
      <c r="A8" s="8">
        <v>6</v>
      </c>
      <c r="B8" s="8" t="s">
        <v>51</v>
      </c>
      <c r="C8" s="8" t="s">
        <v>52</v>
      </c>
      <c r="D8" s="8">
        <v>7.5</v>
      </c>
      <c r="E8" s="9"/>
      <c r="F8" s="9"/>
      <c r="G8" s="9"/>
      <c r="H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15.6" spans="1:21">
      <c r="A9" s="8">
        <v>7</v>
      </c>
      <c r="B9" s="8" t="s">
        <v>53</v>
      </c>
      <c r="C9" s="8" t="s">
        <v>54</v>
      </c>
      <c r="D9" s="8">
        <v>5.3</v>
      </c>
      <c r="E9" s="9"/>
      <c r="F9" s="9"/>
      <c r="G9" s="9"/>
      <c r="H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ht="15.6" spans="1:21">
      <c r="A10" s="8">
        <v>8</v>
      </c>
      <c r="B10" s="8" t="s">
        <v>55</v>
      </c>
      <c r="C10" s="8" t="s">
        <v>56</v>
      </c>
      <c r="D10" s="8">
        <v>6.8</v>
      </c>
      <c r="E10" s="9"/>
      <c r="F10" s="9"/>
      <c r="G10" s="9"/>
      <c r="H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ht="15.6" spans="1:21">
      <c r="A11" s="8">
        <v>9</v>
      </c>
      <c r="B11" s="8" t="s">
        <v>57</v>
      </c>
      <c r="C11" s="8" t="s">
        <v>58</v>
      </c>
      <c r="D11" s="8">
        <v>6.3</v>
      </c>
      <c r="E11" s="9"/>
      <c r="F11" s="9"/>
      <c r="G11" s="9"/>
      <c r="H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ht="15.6" spans="1:21">
      <c r="A12" s="8">
        <v>10</v>
      </c>
      <c r="B12" s="8" t="s">
        <v>59</v>
      </c>
      <c r="C12" s="8" t="s">
        <v>60</v>
      </c>
      <c r="D12" s="8">
        <v>8.3</v>
      </c>
      <c r="E12" s="9"/>
      <c r="F12" s="9"/>
      <c r="G12" s="9"/>
      <c r="H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ht="15.6" spans="1:21">
      <c r="A13" s="8">
        <v>11</v>
      </c>
      <c r="B13" s="8" t="s">
        <v>61</v>
      </c>
      <c r="C13" s="8" t="s">
        <v>62</v>
      </c>
      <c r="D13" s="8">
        <v>-3</v>
      </c>
      <c r="E13" s="9"/>
      <c r="F13" s="9"/>
      <c r="G13" s="9"/>
      <c r="H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ht="15.6" spans="1:21">
      <c r="A14" s="8">
        <v>12</v>
      </c>
      <c r="B14" s="8" t="s">
        <v>63</v>
      </c>
      <c r="C14" s="8" t="s">
        <v>64</v>
      </c>
      <c r="D14" s="8">
        <v>7</v>
      </c>
      <c r="E14" s="9"/>
      <c r="F14" s="9"/>
      <c r="G14" s="9"/>
      <c r="H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ht="15.6" spans="1:21">
      <c r="A15" s="8">
        <v>13</v>
      </c>
      <c r="B15" s="8" t="s">
        <v>65</v>
      </c>
      <c r="C15" s="8" t="s">
        <v>66</v>
      </c>
      <c r="D15" s="8">
        <v>-3</v>
      </c>
      <c r="E15" s="9"/>
      <c r="F15" s="9"/>
      <c r="G15" s="9"/>
      <c r="H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ht="15.6" spans="1:21">
      <c r="A16" s="8">
        <v>14</v>
      </c>
      <c r="B16" s="8" t="s">
        <v>67</v>
      </c>
      <c r="C16" s="8" t="s">
        <v>68</v>
      </c>
      <c r="D16" s="8">
        <v>6.5</v>
      </c>
      <c r="E16" s="9"/>
      <c r="F16" s="9"/>
      <c r="G16" s="9"/>
      <c r="H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ht="15.6" spans="1:21">
      <c r="A17" s="9"/>
      <c r="B17" s="9"/>
      <c r="C17" s="9"/>
      <c r="D17" s="9"/>
      <c r="E17" s="9"/>
      <c r="F17" s="9"/>
      <c r="G17" s="9"/>
      <c r="H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15.6" spans="1:21">
      <c r="A18" s="9"/>
      <c r="B18" s="9"/>
      <c r="C18" s="9"/>
      <c r="D18" s="9"/>
      <c r="E18" s="9"/>
      <c r="F18" s="9"/>
      <c r="G18" s="9"/>
      <c r="H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ht="15.6" spans="1:2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5.6" spans="1:2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5.6" spans="1: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5.6" spans="1:2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ht="15.6" spans="1:2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15.6" spans="1:2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ht="15.6" spans="1:2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5.6" spans="1:2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topLeftCell="A23" workbookViewId="0">
      <selection activeCell="F30" sqref="F30"/>
    </sheetView>
  </sheetViews>
  <sheetFormatPr defaultColWidth="8.88888888888889" defaultRowHeight="14.4"/>
  <cols>
    <col min="1" max="1" width="24.5555555555556" customWidth="1"/>
    <col min="2" max="2" width="22.5555555555556" customWidth="1"/>
    <col min="3" max="3" width="22.4444444444444" customWidth="1"/>
    <col min="4" max="4" width="5.22222222222222" customWidth="1"/>
    <col min="5" max="5" width="25.6666666666667" customWidth="1"/>
    <col min="6" max="6" width="18.7777777777778" customWidth="1"/>
  </cols>
  <sheetData>
    <row r="1" ht="17.4" spans="1:14">
      <c r="A1" s="7" t="s">
        <v>73</v>
      </c>
      <c r="B1" s="7"/>
      <c r="C1" s="7"/>
      <c r="D1" s="8"/>
      <c r="E1" s="7" t="s">
        <v>74</v>
      </c>
      <c r="F1" s="7"/>
      <c r="G1" s="9"/>
      <c r="H1" s="9"/>
      <c r="I1" s="9"/>
      <c r="J1" s="9"/>
      <c r="K1" s="9"/>
      <c r="L1" s="9"/>
      <c r="M1" s="9"/>
      <c r="N1" s="9"/>
    </row>
    <row r="2" ht="15.6" spans="1:14">
      <c r="A2" s="10" t="s">
        <v>75</v>
      </c>
      <c r="B2" s="10" t="s">
        <v>76</v>
      </c>
      <c r="C2" s="10" t="s">
        <v>77</v>
      </c>
      <c r="D2" s="8"/>
      <c r="E2" s="10" t="s">
        <v>78</v>
      </c>
      <c r="F2" s="10" t="s">
        <v>79</v>
      </c>
      <c r="G2" s="9"/>
      <c r="H2" s="9"/>
      <c r="I2" s="9"/>
      <c r="J2" s="9"/>
      <c r="K2" s="9"/>
      <c r="L2" s="9"/>
      <c r="M2" s="9"/>
      <c r="N2" s="9"/>
    </row>
    <row r="3" ht="15.6" spans="1:14">
      <c r="A3" s="11">
        <v>0</v>
      </c>
      <c r="B3" s="11" t="s">
        <v>80</v>
      </c>
      <c r="C3" s="11">
        <v>0</v>
      </c>
      <c r="D3" s="8"/>
      <c r="E3" s="8">
        <v>0</v>
      </c>
      <c r="F3" s="11">
        <v>1</v>
      </c>
      <c r="G3" s="9"/>
      <c r="H3" s="9"/>
      <c r="I3" s="9"/>
      <c r="J3" s="9"/>
      <c r="K3" s="9"/>
      <c r="L3" s="9"/>
      <c r="M3" s="9"/>
      <c r="N3" s="9"/>
    </row>
    <row r="4" ht="15.6" spans="1:14">
      <c r="A4" s="11">
        <v>4</v>
      </c>
      <c r="B4" s="11" t="s">
        <v>81</v>
      </c>
      <c r="C4" s="11">
        <v>1</v>
      </c>
      <c r="D4" s="8"/>
      <c r="E4" s="8">
        <v>1</v>
      </c>
      <c r="F4" s="11">
        <v>0.5</v>
      </c>
      <c r="G4" s="9"/>
      <c r="H4" s="9"/>
      <c r="I4" s="9"/>
      <c r="J4" s="9"/>
      <c r="K4" s="9"/>
      <c r="L4" s="9"/>
      <c r="M4" s="9"/>
      <c r="N4" s="9"/>
    </row>
    <row r="5" ht="15.6" spans="1:14">
      <c r="A5" s="12">
        <v>5</v>
      </c>
      <c r="B5" s="11" t="s">
        <v>82</v>
      </c>
      <c r="C5" s="12">
        <v>1.5</v>
      </c>
      <c r="D5" s="12"/>
      <c r="E5" s="8">
        <v>2</v>
      </c>
      <c r="F5" s="12">
        <v>0.25</v>
      </c>
      <c r="G5" s="9"/>
      <c r="H5" s="9"/>
      <c r="I5" s="9"/>
      <c r="J5" s="9"/>
      <c r="K5" s="9"/>
      <c r="L5" s="9"/>
      <c r="M5" s="9"/>
      <c r="N5" s="9"/>
    </row>
    <row r="6" ht="15.6" spans="1:14">
      <c r="A6" s="12">
        <v>5.5</v>
      </c>
      <c r="B6" s="11" t="s">
        <v>83</v>
      </c>
      <c r="C6" s="12">
        <v>2</v>
      </c>
      <c r="D6" s="12"/>
      <c r="E6" s="12"/>
      <c r="F6" s="12"/>
      <c r="G6" s="9"/>
      <c r="H6" s="9"/>
      <c r="I6" s="9"/>
      <c r="J6" s="9"/>
      <c r="K6" s="9"/>
      <c r="L6" s="9"/>
      <c r="M6" s="9"/>
      <c r="N6" s="9"/>
    </row>
    <row r="7" ht="15.6" spans="1:14">
      <c r="A7" s="12">
        <v>6.5</v>
      </c>
      <c r="B7" s="11" t="s">
        <v>84</v>
      </c>
      <c r="C7" s="12">
        <v>2.5</v>
      </c>
      <c r="D7" s="12"/>
      <c r="E7" s="12"/>
      <c r="F7" s="12"/>
      <c r="G7" s="9"/>
      <c r="H7" s="9"/>
      <c r="I7" s="9"/>
      <c r="J7" s="9"/>
      <c r="K7" s="9"/>
      <c r="L7" s="9"/>
      <c r="M7" s="9"/>
      <c r="N7" s="9"/>
    </row>
    <row r="8" ht="15.6" spans="1:14">
      <c r="A8" s="12">
        <v>7</v>
      </c>
      <c r="B8" s="11" t="s">
        <v>85</v>
      </c>
      <c r="C8" s="12">
        <v>3</v>
      </c>
      <c r="D8" s="12"/>
      <c r="E8" s="12"/>
      <c r="F8" s="12"/>
      <c r="G8" s="9"/>
      <c r="H8" s="9"/>
      <c r="I8" s="9"/>
      <c r="J8" s="9"/>
      <c r="K8" s="9"/>
      <c r="L8" s="9"/>
      <c r="M8" s="9"/>
      <c r="N8" s="9"/>
    </row>
    <row r="9" ht="15.6" spans="1:14">
      <c r="A9" s="12">
        <v>8</v>
      </c>
      <c r="B9" s="11" t="s">
        <v>86</v>
      </c>
      <c r="C9" s="12">
        <v>3.5</v>
      </c>
      <c r="D9" s="12"/>
      <c r="E9" s="12"/>
      <c r="F9" s="12"/>
      <c r="G9" s="9"/>
      <c r="H9" s="9"/>
      <c r="I9" s="9"/>
      <c r="J9" s="9"/>
      <c r="K9" s="9"/>
      <c r="L9" s="9"/>
      <c r="M9" s="9"/>
      <c r="N9" s="9"/>
    </row>
    <row r="10" ht="15.6" spans="1:14">
      <c r="A10" s="12">
        <v>9</v>
      </c>
      <c r="B10" s="11" t="s">
        <v>87</v>
      </c>
      <c r="C10" s="12">
        <v>4</v>
      </c>
      <c r="D10" s="12"/>
      <c r="E10" s="12"/>
      <c r="F10" s="12"/>
      <c r="G10" s="9"/>
      <c r="H10" s="9"/>
      <c r="I10" s="9"/>
      <c r="J10" s="9"/>
      <c r="K10" s="9"/>
      <c r="L10" s="9"/>
      <c r="M10" s="9"/>
      <c r="N10" s="9"/>
    </row>
    <row r="11" ht="27" customHeight="1" spans="1:14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28" customHeight="1" spans="1:14">
      <c r="A12" s="7" t="s">
        <v>88</v>
      </c>
      <c r="B12" s="7"/>
      <c r="C12" s="7"/>
      <c r="D12" s="8"/>
      <c r="E12" s="10" t="s">
        <v>89</v>
      </c>
      <c r="F12" s="10"/>
      <c r="G12" s="9"/>
      <c r="H12" s="9"/>
      <c r="I12" s="9"/>
      <c r="J12" s="9"/>
      <c r="K12" s="9"/>
      <c r="L12" s="9"/>
      <c r="M12" s="9"/>
      <c r="N12" s="9"/>
    </row>
    <row r="13" ht="30" customHeight="1" spans="1:14">
      <c r="A13" s="13" t="s">
        <v>36</v>
      </c>
      <c r="B13" s="10" t="s">
        <v>11</v>
      </c>
      <c r="C13" s="10" t="s">
        <v>12</v>
      </c>
      <c r="D13" s="8"/>
      <c r="E13" s="10" t="s">
        <v>76</v>
      </c>
      <c r="F13" s="14" t="s">
        <v>90</v>
      </c>
      <c r="G13" s="9"/>
      <c r="H13" s="9"/>
      <c r="I13" s="9"/>
      <c r="J13" s="9"/>
      <c r="K13" s="9"/>
      <c r="L13" s="9"/>
      <c r="M13" s="9"/>
      <c r="N13" s="9"/>
    </row>
    <row r="14" ht="15.6" spans="1:14">
      <c r="A14" s="8">
        <v>1</v>
      </c>
      <c r="B14" s="8" t="s">
        <v>47</v>
      </c>
      <c r="C14" s="8" t="s">
        <v>48</v>
      </c>
      <c r="D14" s="12"/>
      <c r="E14" s="8" t="s">
        <v>87</v>
      </c>
      <c r="F14" s="15">
        <f>COUNTIF('Tổng hợp điểm'!K:K,E16)</f>
        <v>2</v>
      </c>
      <c r="G14" s="9"/>
      <c r="H14" s="9"/>
      <c r="I14" s="9"/>
      <c r="J14" s="9"/>
      <c r="K14" s="9"/>
      <c r="L14" s="9"/>
      <c r="M14" s="9"/>
      <c r="N14" s="9"/>
    </row>
    <row r="15" ht="15.6" spans="1:14">
      <c r="A15" s="8">
        <v>2</v>
      </c>
      <c r="B15" s="8" t="s">
        <v>55</v>
      </c>
      <c r="C15" s="8" t="s">
        <v>56</v>
      </c>
      <c r="D15" s="12"/>
      <c r="E15" s="8" t="s">
        <v>86</v>
      </c>
      <c r="F15" s="15">
        <f>COUNTIF('Tổng hợp điểm'!K:K,E17)</f>
        <v>2</v>
      </c>
      <c r="G15" s="9"/>
      <c r="H15" s="9"/>
      <c r="I15" s="9"/>
      <c r="J15" s="9"/>
      <c r="K15" s="9"/>
      <c r="L15" s="9"/>
      <c r="M15" s="9"/>
      <c r="N15" s="9"/>
    </row>
    <row r="16" ht="15.6" spans="1:14">
      <c r="A16" s="8">
        <v>3</v>
      </c>
      <c r="B16" s="8" t="s">
        <v>57</v>
      </c>
      <c r="C16" s="8" t="s">
        <v>58</v>
      </c>
      <c r="D16" s="12"/>
      <c r="E16" s="8" t="s">
        <v>85</v>
      </c>
      <c r="F16" s="15">
        <f>COUNTIF('Tổng hợp điểm'!K:K,E18)</f>
        <v>5</v>
      </c>
      <c r="G16" s="9"/>
      <c r="H16" s="9"/>
      <c r="I16" s="9"/>
      <c r="J16" s="9"/>
      <c r="K16" s="9"/>
      <c r="L16" s="9"/>
      <c r="M16" s="9"/>
      <c r="N16" s="9"/>
    </row>
    <row r="17" ht="15.6" spans="1:14">
      <c r="A17" s="8">
        <v>4</v>
      </c>
      <c r="B17" s="8" t="s">
        <v>53</v>
      </c>
      <c r="C17" s="8" t="s">
        <v>54</v>
      </c>
      <c r="D17" s="12"/>
      <c r="E17" s="8" t="s">
        <v>84</v>
      </c>
      <c r="F17" s="15">
        <f>COUNTIF('Tổng hợp điểm'!K:K,E19)</f>
        <v>1</v>
      </c>
      <c r="G17" s="9"/>
      <c r="H17" s="9"/>
      <c r="I17" s="9"/>
      <c r="J17" s="9"/>
      <c r="K17" s="9"/>
      <c r="L17" s="9"/>
      <c r="M17" s="9"/>
      <c r="N17" s="9"/>
    </row>
    <row r="18" ht="15.6" spans="1:14">
      <c r="A18" s="8">
        <v>5</v>
      </c>
      <c r="B18" s="8" t="s">
        <v>49</v>
      </c>
      <c r="C18" s="8" t="s">
        <v>50</v>
      </c>
      <c r="D18" s="12"/>
      <c r="E18" s="8" t="s">
        <v>83</v>
      </c>
      <c r="F18" s="15">
        <f>COUNTIF('Tổng hợp điểm'!K:K,E20)</f>
        <v>0</v>
      </c>
      <c r="G18" s="9"/>
      <c r="H18" s="9"/>
      <c r="I18" s="9"/>
      <c r="J18" s="9"/>
      <c r="K18" s="9"/>
      <c r="L18" s="9"/>
      <c r="M18" s="9"/>
      <c r="N18" s="9"/>
    </row>
    <row r="19" ht="15.6" spans="1:14">
      <c r="A19" s="8">
        <v>6</v>
      </c>
      <c r="B19" s="8" t="s">
        <v>43</v>
      </c>
      <c r="C19" s="8" t="s">
        <v>44</v>
      </c>
      <c r="D19" s="12"/>
      <c r="E19" s="8" t="s">
        <v>82</v>
      </c>
      <c r="F19" s="15">
        <f>COUNTIF('Tổng hợp điểm'!K:K,E21)</f>
        <v>3</v>
      </c>
      <c r="G19" s="9"/>
      <c r="H19" s="9"/>
      <c r="I19" s="9"/>
      <c r="J19" s="9"/>
      <c r="K19" s="9"/>
      <c r="L19" s="9"/>
      <c r="M19" s="9"/>
      <c r="N19" s="9"/>
    </row>
    <row r="20" ht="15.6" spans="1:14">
      <c r="A20" s="8">
        <v>7</v>
      </c>
      <c r="B20" s="8" t="s">
        <v>61</v>
      </c>
      <c r="C20" s="8" t="s">
        <v>62</v>
      </c>
      <c r="D20" s="12"/>
      <c r="E20" s="8" t="s">
        <v>81</v>
      </c>
      <c r="F20" s="15">
        <f>COUNTIF('Tổng hợp điểm'!K:K,E22)</f>
        <v>0</v>
      </c>
      <c r="G20" s="9"/>
      <c r="H20" s="9"/>
      <c r="I20" s="9"/>
      <c r="J20" s="9"/>
      <c r="K20" s="9"/>
      <c r="L20" s="9"/>
      <c r="M20" s="9"/>
      <c r="N20" s="9"/>
    </row>
    <row r="21" ht="15.6" spans="1:14">
      <c r="A21" s="8">
        <v>8</v>
      </c>
      <c r="B21" s="8" t="s">
        <v>67</v>
      </c>
      <c r="C21" s="8" t="s">
        <v>68</v>
      </c>
      <c r="D21" s="12"/>
      <c r="E21" s="8" t="s">
        <v>80</v>
      </c>
      <c r="F21" s="15">
        <f>COUNTIF('Tổng hợp điểm'!K:K,E23)</f>
        <v>0</v>
      </c>
      <c r="G21" s="9"/>
      <c r="H21" s="9"/>
      <c r="I21" s="9"/>
      <c r="J21" s="9"/>
      <c r="K21" s="9"/>
      <c r="L21" s="9"/>
      <c r="M21" s="9"/>
      <c r="N21" s="9"/>
    </row>
    <row r="22" ht="15.6" spans="1:14">
      <c r="A22" s="16">
        <v>9</v>
      </c>
      <c r="B22" s="8" t="s">
        <v>63</v>
      </c>
      <c r="C22" s="8" t="s">
        <v>64</v>
      </c>
      <c r="D22" s="12"/>
      <c r="E22" s="11"/>
      <c r="F22" s="12"/>
      <c r="G22" s="9"/>
      <c r="H22" s="9"/>
      <c r="I22" s="9"/>
      <c r="J22" s="9"/>
      <c r="K22" s="9"/>
      <c r="L22" s="9"/>
      <c r="M22" s="9"/>
      <c r="N22" s="9"/>
    </row>
    <row r="23" ht="15.6" spans="1:14">
      <c r="A23" s="16">
        <v>10</v>
      </c>
      <c r="B23" s="8" t="s">
        <v>45</v>
      </c>
      <c r="C23" s="8" t="s">
        <v>46</v>
      </c>
      <c r="D23" s="12"/>
      <c r="E23" s="17" t="s">
        <v>91</v>
      </c>
      <c r="F23" s="17"/>
      <c r="G23" s="18"/>
      <c r="H23" s="9"/>
      <c r="I23" s="9"/>
      <c r="J23" s="9"/>
      <c r="K23" s="9"/>
      <c r="L23" s="9"/>
      <c r="M23" s="9"/>
      <c r="N23" s="9"/>
    </row>
    <row r="24" ht="15.6" spans="1:14">
      <c r="A24" s="8">
        <v>11</v>
      </c>
      <c r="B24" s="8" t="s">
        <v>59</v>
      </c>
      <c r="C24" s="8" t="s">
        <v>60</v>
      </c>
      <c r="D24" s="12"/>
      <c r="E24" s="19" t="s">
        <v>92</v>
      </c>
      <c r="F24" s="20">
        <f>COUNTIFS('Tổng hợp điểm'!G:G,0)+COUNTIFS('Tổng hợp điểm'!H:H,-3)</f>
        <v>3</v>
      </c>
      <c r="G24" s="21"/>
      <c r="H24" s="9"/>
      <c r="I24" s="9"/>
      <c r="J24" s="9"/>
      <c r="K24" s="9"/>
      <c r="L24" s="9"/>
      <c r="M24" s="9"/>
      <c r="N24" s="9"/>
    </row>
    <row r="25" ht="15.6" spans="1:14">
      <c r="A25" s="8">
        <v>12</v>
      </c>
      <c r="B25" s="8" t="s">
        <v>41</v>
      </c>
      <c r="C25" s="8" t="s">
        <v>42</v>
      </c>
      <c r="D25" s="12"/>
      <c r="E25" s="19" t="s">
        <v>93</v>
      </c>
      <c r="F25" s="22"/>
      <c r="G25" s="21"/>
      <c r="H25" s="9"/>
      <c r="I25" s="9"/>
      <c r="J25" s="9"/>
      <c r="K25" s="9"/>
      <c r="L25" s="9"/>
      <c r="M25" s="9"/>
      <c r="N25" s="9"/>
    </row>
    <row r="26" ht="15.6" spans="1:14">
      <c r="A26" s="8">
        <v>13</v>
      </c>
      <c r="B26" s="8" t="s">
        <v>51</v>
      </c>
      <c r="C26" s="8" t="s">
        <v>52</v>
      </c>
      <c r="D26" s="12"/>
      <c r="E26" s="19">
        <f>-3</f>
        <v>-3</v>
      </c>
      <c r="F26" s="23"/>
      <c r="G26" s="21"/>
      <c r="H26" s="9"/>
      <c r="I26" s="9"/>
      <c r="J26" s="9"/>
      <c r="K26" s="9"/>
      <c r="L26" s="9"/>
      <c r="M26" s="9"/>
      <c r="N26" s="9"/>
    </row>
    <row r="27" ht="15.6" spans="1:14">
      <c r="A27" s="8">
        <v>14</v>
      </c>
      <c r="B27" s="8" t="s">
        <v>65</v>
      </c>
      <c r="C27" s="8" t="s">
        <v>66</v>
      </c>
      <c r="D27" s="12"/>
      <c r="E27" s="24" t="s">
        <v>94</v>
      </c>
      <c r="F27" s="25">
        <f>COUNTIFS('Tổng hợp điểm'!D:D,0,'Tổng hợp điểm'!E:E,0,'Tổng hợp điểm'!F:F,0)</f>
        <v>0</v>
      </c>
      <c r="G27" s="9"/>
      <c r="H27" s="9"/>
      <c r="I27" s="9"/>
      <c r="J27" s="9"/>
      <c r="K27" s="9"/>
      <c r="L27" s="9"/>
      <c r="M27" s="9"/>
      <c r="N27" s="9"/>
    </row>
    <row r="28" ht="15.6" spans="1:14">
      <c r="A28" s="9"/>
      <c r="B28" s="9"/>
      <c r="C28" s="9"/>
      <c r="D28" s="9"/>
      <c r="E28" s="9"/>
      <c r="G28" s="9"/>
      <c r="H28" s="9"/>
      <c r="I28" s="9"/>
      <c r="J28" s="9"/>
      <c r="K28" s="9"/>
      <c r="L28" s="9"/>
      <c r="M28" s="9"/>
      <c r="N28" s="9"/>
    </row>
    <row r="29" ht="15.6" spans="1:1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ht="15.6" spans="1:1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ht="15.6" spans="1:1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ht="15.6" spans="1:1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ht="15.6" spans="1:1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ht="15.6" spans="1:1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ht="15.6" spans="1:1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ht="15.6" spans="1:1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ht="15.6" spans="1:1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ht="15.6" spans="1:1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ht="15.6" spans="1:1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ht="15.6" spans="1:1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ht="15.6" spans="1:1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ht="15.6" spans="1:1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ht="15.6" spans="1:1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ht="15.6" spans="1:1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ht="15.6" spans="1:1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</sheetData>
  <mergeCells count="6">
    <mergeCell ref="A1:C1"/>
    <mergeCell ref="E1:F1"/>
    <mergeCell ref="A12:C12"/>
    <mergeCell ref="E12:F12"/>
    <mergeCell ref="E23:F23"/>
    <mergeCell ref="F24:F26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L11" sqref="L11"/>
    </sheetView>
  </sheetViews>
  <sheetFormatPr defaultColWidth="8.88888888888889" defaultRowHeight="14.4"/>
  <cols>
    <col min="2" max="2" width="11.2222222222222" customWidth="1"/>
    <col min="3" max="3" width="18.3333333333333" customWidth="1"/>
  </cols>
  <sheetData>
    <row r="1" spans="1:11">
      <c r="A1" s="1">
        <v>1</v>
      </c>
      <c r="B1" s="6" t="s">
        <v>21</v>
      </c>
      <c r="C1" s="3" t="s">
        <v>42</v>
      </c>
      <c r="D1" s="3">
        <v>0.45</v>
      </c>
      <c r="E1" s="3">
        <v>0.25</v>
      </c>
      <c r="F1" s="3">
        <v>0.3</v>
      </c>
      <c r="G1" s="3">
        <v>0.5</v>
      </c>
      <c r="H1" s="3">
        <v>4.2</v>
      </c>
      <c r="I1" s="3">
        <v>4</v>
      </c>
      <c r="J1" s="4">
        <v>5</v>
      </c>
      <c r="K1" s="4" t="s">
        <v>82</v>
      </c>
    </row>
    <row r="2" spans="1:11">
      <c r="A2" s="1">
        <v>2</v>
      </c>
      <c r="B2" s="3" t="s">
        <v>22</v>
      </c>
      <c r="C2" s="3" t="s">
        <v>44</v>
      </c>
      <c r="D2" s="3">
        <v>0.5</v>
      </c>
      <c r="E2" s="3">
        <v>0.35</v>
      </c>
      <c r="F2" s="3">
        <v>0.4</v>
      </c>
      <c r="G2" s="3">
        <v>1</v>
      </c>
      <c r="H2" s="3">
        <v>5.8</v>
      </c>
      <c r="I2" s="3">
        <v>5.7</v>
      </c>
      <c r="J2" s="4">
        <v>6.2</v>
      </c>
      <c r="K2" s="4" t="s">
        <v>83</v>
      </c>
    </row>
    <row r="3" spans="1:11">
      <c r="A3" s="1">
        <v>3</v>
      </c>
      <c r="B3" s="2" t="s">
        <v>23</v>
      </c>
      <c r="C3" s="3" t="s">
        <v>46</v>
      </c>
      <c r="D3" s="3">
        <v>0.25</v>
      </c>
      <c r="E3" s="3">
        <v>0.25</v>
      </c>
      <c r="F3" s="3">
        <v>0.3</v>
      </c>
      <c r="G3" s="3">
        <v>0.5</v>
      </c>
      <c r="H3" s="3">
        <v>5.8</v>
      </c>
      <c r="I3" s="3">
        <v>4.8</v>
      </c>
      <c r="J3" s="4">
        <v>5.8</v>
      </c>
      <c r="K3" s="4" t="s">
        <v>83</v>
      </c>
    </row>
    <row r="4" spans="1:11">
      <c r="A4" s="1">
        <v>4</v>
      </c>
      <c r="B4" s="2" t="s">
        <v>24</v>
      </c>
      <c r="C4" s="3" t="s">
        <v>48</v>
      </c>
      <c r="D4" s="3">
        <v>0.4</v>
      </c>
      <c r="E4" s="3">
        <v>0.25</v>
      </c>
      <c r="F4" s="3">
        <v>0.35</v>
      </c>
      <c r="G4" s="3">
        <v>1</v>
      </c>
      <c r="H4" s="3">
        <v>4.5</v>
      </c>
      <c r="I4" s="3">
        <v>4.7</v>
      </c>
      <c r="J4" s="4">
        <v>5.7</v>
      </c>
      <c r="K4" s="4" t="s">
        <v>83</v>
      </c>
    </row>
    <row r="5" spans="1:11">
      <c r="A5" s="1">
        <v>5</v>
      </c>
      <c r="B5" s="2" t="s">
        <v>25</v>
      </c>
      <c r="C5" s="3" t="s">
        <v>50</v>
      </c>
      <c r="D5" s="3">
        <v>0.45</v>
      </c>
      <c r="E5" s="3">
        <v>0.4</v>
      </c>
      <c r="F5" s="3">
        <v>0.35</v>
      </c>
      <c r="G5" s="3">
        <v>0.75</v>
      </c>
      <c r="H5" s="3">
        <v>5.5</v>
      </c>
      <c r="I5" s="3">
        <v>5.3</v>
      </c>
      <c r="J5" s="4">
        <v>5.6</v>
      </c>
      <c r="K5" s="4" t="s">
        <v>83</v>
      </c>
    </row>
    <row r="6" spans="1:11">
      <c r="A6" s="1">
        <v>7</v>
      </c>
      <c r="B6" s="2" t="s">
        <v>27</v>
      </c>
      <c r="C6" s="3" t="s">
        <v>54</v>
      </c>
      <c r="D6" s="3">
        <v>0.4</v>
      </c>
      <c r="E6" s="3">
        <v>0.4</v>
      </c>
      <c r="F6" s="3">
        <v>0.4</v>
      </c>
      <c r="G6" s="3">
        <v>1</v>
      </c>
      <c r="H6" s="3">
        <v>5.3</v>
      </c>
      <c r="I6" s="3">
        <v>5.4</v>
      </c>
      <c r="J6" s="4">
        <v>6.4</v>
      </c>
      <c r="K6" s="4" t="s">
        <v>83</v>
      </c>
    </row>
    <row r="7" spans="1:11">
      <c r="A7" s="1">
        <v>8</v>
      </c>
      <c r="B7" s="2" t="s">
        <v>28</v>
      </c>
      <c r="C7" s="3" t="s">
        <v>56</v>
      </c>
      <c r="D7" s="3">
        <v>0.45</v>
      </c>
      <c r="E7" s="3">
        <v>0.4</v>
      </c>
      <c r="F7" s="3">
        <v>0.45</v>
      </c>
      <c r="G7" s="3">
        <v>0</v>
      </c>
      <c r="H7" s="3">
        <v>6.8</v>
      </c>
      <c r="I7" s="3">
        <v>5.4</v>
      </c>
      <c r="J7" s="4">
        <v>0</v>
      </c>
      <c r="K7" s="4" t="s">
        <v>80</v>
      </c>
    </row>
    <row r="8" spans="1:11">
      <c r="A8" s="1">
        <v>9</v>
      </c>
      <c r="B8" s="2" t="s">
        <v>29</v>
      </c>
      <c r="C8" s="3" t="s">
        <v>58</v>
      </c>
      <c r="D8" s="3">
        <v>0.45</v>
      </c>
      <c r="E8" s="3">
        <v>0.4</v>
      </c>
      <c r="F8" s="3">
        <v>0.4</v>
      </c>
      <c r="G8" s="3">
        <v>0.75</v>
      </c>
      <c r="H8" s="3">
        <v>6.3</v>
      </c>
      <c r="I8" s="3">
        <v>5.8</v>
      </c>
      <c r="J8" s="4">
        <v>6.8</v>
      </c>
      <c r="K8" s="4" t="s">
        <v>84</v>
      </c>
    </row>
    <row r="9" spans="1:11">
      <c r="A9" s="1">
        <v>11</v>
      </c>
      <c r="B9" s="2" t="s">
        <v>31</v>
      </c>
      <c r="C9" s="3" t="s">
        <v>62</v>
      </c>
      <c r="D9" s="3">
        <v>0.4</v>
      </c>
      <c r="E9" s="3">
        <v>0.45</v>
      </c>
      <c r="F9" s="3">
        <v>0.4</v>
      </c>
      <c r="G9" s="3">
        <v>0.3</v>
      </c>
      <c r="H9" s="3">
        <v>-3</v>
      </c>
      <c r="I9" s="3">
        <v>0</v>
      </c>
      <c r="J9" s="4">
        <v>0</v>
      </c>
      <c r="K9" s="4" t="s">
        <v>80</v>
      </c>
    </row>
    <row r="10" spans="1:11">
      <c r="A10" s="1">
        <v>13</v>
      </c>
      <c r="B10" s="2" t="s">
        <v>33</v>
      </c>
      <c r="C10" s="3" t="s">
        <v>66</v>
      </c>
      <c r="D10" s="3">
        <v>0.4</v>
      </c>
      <c r="E10" s="3">
        <v>0.4</v>
      </c>
      <c r="F10" s="3">
        <v>0.35</v>
      </c>
      <c r="G10" s="3">
        <v>1.35</v>
      </c>
      <c r="H10" s="3">
        <v>-3</v>
      </c>
      <c r="I10" s="3">
        <v>0</v>
      </c>
      <c r="J10" s="4">
        <v>0</v>
      </c>
      <c r="K10" s="4" t="s">
        <v>80</v>
      </c>
    </row>
    <row r="11" spans="1:11">
      <c r="A11" s="1">
        <v>14</v>
      </c>
      <c r="B11" s="2" t="s">
        <v>34</v>
      </c>
      <c r="C11" s="3" t="s">
        <v>68</v>
      </c>
      <c r="D11" s="3">
        <v>0.35</v>
      </c>
      <c r="E11" s="3">
        <v>0.4</v>
      </c>
      <c r="F11" s="3">
        <v>0</v>
      </c>
      <c r="G11" s="3">
        <v>0.85</v>
      </c>
      <c r="H11" s="3">
        <v>6.5</v>
      </c>
      <c r="I11" s="3">
        <v>5.5</v>
      </c>
      <c r="J11" s="4">
        <v>6.5</v>
      </c>
      <c r="K11" s="4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D6" sqref="D6"/>
    </sheetView>
  </sheetViews>
  <sheetFormatPr defaultColWidth="8.88888888888889" defaultRowHeight="14.4" outlineLevelRow="3"/>
  <cols>
    <col min="2" max="2" width="14.5555555555556" customWidth="1"/>
    <col min="3" max="3" width="19.7777777777778" customWidth="1"/>
  </cols>
  <sheetData>
    <row r="1" spans="1:11">
      <c r="A1" s="1">
        <v>6</v>
      </c>
      <c r="B1" s="2" t="s">
        <v>26</v>
      </c>
      <c r="C1" s="3" t="s">
        <v>52</v>
      </c>
      <c r="D1" s="3">
        <v>0.4</v>
      </c>
      <c r="E1" s="3">
        <v>0.45</v>
      </c>
      <c r="F1" s="3">
        <v>0.5</v>
      </c>
      <c r="G1" s="3">
        <v>1.2</v>
      </c>
      <c r="H1" s="3">
        <v>7.5</v>
      </c>
      <c r="I1" s="3">
        <v>7.1</v>
      </c>
      <c r="J1" s="4">
        <v>8.1</v>
      </c>
      <c r="K1" s="4" t="s">
        <v>86</v>
      </c>
    </row>
    <row r="2" spans="1:11">
      <c r="A2" s="1">
        <v>10</v>
      </c>
      <c r="B2" s="2" t="s">
        <v>30</v>
      </c>
      <c r="C2" s="3" t="s">
        <v>60</v>
      </c>
      <c r="D2" s="3">
        <v>0.3</v>
      </c>
      <c r="E2" s="3">
        <v>0.5</v>
      </c>
      <c r="F2" s="3">
        <v>0.45</v>
      </c>
      <c r="G2" s="3">
        <v>0.3</v>
      </c>
      <c r="H2" s="3">
        <v>8.3</v>
      </c>
      <c r="I2" s="3">
        <v>6.5</v>
      </c>
      <c r="J2" s="4">
        <v>7</v>
      </c>
      <c r="K2" s="4" t="s">
        <v>85</v>
      </c>
    </row>
    <row r="3" spans="1:11">
      <c r="A3" s="1">
        <v>12</v>
      </c>
      <c r="B3" s="2" t="s">
        <v>32</v>
      </c>
      <c r="C3" s="3" t="s">
        <v>64</v>
      </c>
      <c r="D3" s="3">
        <v>0.5</v>
      </c>
      <c r="E3" s="3">
        <v>0.5</v>
      </c>
      <c r="F3" s="3">
        <v>0.45</v>
      </c>
      <c r="G3" s="3">
        <v>1.5</v>
      </c>
      <c r="H3" s="3">
        <v>7</v>
      </c>
      <c r="I3" s="3">
        <v>7.2</v>
      </c>
      <c r="J3" s="4">
        <v>7.5</v>
      </c>
      <c r="K3" s="4" t="s">
        <v>85</v>
      </c>
    </row>
    <row r="4" spans="1:11">
      <c r="A4" s="1"/>
      <c r="B4" s="2"/>
      <c r="C4" s="3"/>
      <c r="D4" s="3"/>
      <c r="E4" s="3"/>
      <c r="F4" s="3"/>
      <c r="G4" s="3"/>
      <c r="H4" s="3"/>
      <c r="I4" s="3"/>
      <c r="J4" s="5"/>
      <c r="K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 tham chiếu và thống kê</vt:lpstr>
      <vt:lpstr>Sinh viên điểm &lt; 7</vt:lpstr>
      <vt:lpstr>Sinh viên điểm &gt;=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2026-09-30T13:25:00Z</dcterms:created>
  <dcterms:modified xsi:type="dcterms:W3CDTF">2026-10-01T13:02:20Z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73F62301E0CC4D7AAC9B0C06BEEAA281_11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