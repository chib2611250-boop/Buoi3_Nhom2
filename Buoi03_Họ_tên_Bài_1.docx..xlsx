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bookViews>
    <workbookView xWindow="0" yWindow="0" windowWidth="14808" windowHeight="8400" firstSheet="1" activeTab="4"/>
  </bookViews>
  <sheets>
    <sheet name="Tổng hợp điểm" sheetId="1" r:id="rId1"/>
    <sheet name="Điểm thực hành các buổi" sheetId="2" r:id="rId2"/>
    <sheet name="Điểm bài tập lớn" sheetId="3" r:id="rId3"/>
    <sheet name="Điểm lý thuyết" sheetId="4" r:id="rId4"/>
    <sheet name="Các bản tham chiếu và thống kê" sheetId="5" r:id="rId5"/>
    <sheet name="Sinh viên điểm &lt; 7" sheetId="6" r:id="rId6"/>
    <sheet name="Sinh viên điểm &gt;= 7" sheetId="7" r:id="rId7"/>
  </sheets>
  <definedNames>
    <definedName name="_xlnm._FilterDatabase" localSheetId="0" hidden="1">'Tổng hợp điểm'!$A$7:$K$20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5" l="1"/>
  <c r="F24" i="5" l="1"/>
  <c r="F21" i="5"/>
  <c r="F20" i="5"/>
  <c r="F19" i="5"/>
  <c r="F18" i="5"/>
  <c r="F17" i="5"/>
  <c r="F16" i="5"/>
  <c r="F15" i="5"/>
  <c r="F14" i="5"/>
  <c r="K20" i="1"/>
  <c r="J20" i="1"/>
  <c r="I20" i="1"/>
  <c r="H20" i="1"/>
  <c r="G20" i="1"/>
  <c r="F20" i="1"/>
  <c r="E20" i="1"/>
  <c r="D20" i="1"/>
  <c r="C20" i="1"/>
  <c r="K19" i="1"/>
  <c r="J19" i="1"/>
  <c r="I19" i="1"/>
  <c r="H19" i="1"/>
  <c r="G19" i="1"/>
  <c r="F19" i="1"/>
  <c r="E19" i="1"/>
  <c r="D19" i="1"/>
  <c r="C19" i="1"/>
  <c r="K18" i="1"/>
  <c r="J18" i="1"/>
  <c r="I18" i="1"/>
  <c r="H18" i="1"/>
  <c r="G18" i="1"/>
  <c r="F18" i="1"/>
  <c r="E18" i="1"/>
  <c r="D18" i="1"/>
  <c r="C18" i="1"/>
  <c r="K17" i="1"/>
  <c r="J17" i="1"/>
  <c r="I17" i="1"/>
  <c r="H17" i="1"/>
  <c r="G17" i="1"/>
  <c r="F17" i="1"/>
  <c r="E17" i="1"/>
  <c r="D17" i="1"/>
  <c r="C17" i="1"/>
  <c r="K16" i="1"/>
  <c r="J16" i="1"/>
  <c r="I16" i="1"/>
  <c r="H16" i="1"/>
  <c r="G16" i="1"/>
  <c r="F16" i="1"/>
  <c r="E16" i="1"/>
  <c r="D16" i="1"/>
  <c r="C16" i="1"/>
  <c r="K15" i="1"/>
  <c r="J15" i="1"/>
  <c r="I15" i="1"/>
  <c r="H15" i="1"/>
  <c r="G15" i="1"/>
  <c r="F15" i="1"/>
  <c r="E15" i="1"/>
  <c r="D15" i="1"/>
  <c r="C15" i="1"/>
  <c r="K14" i="1"/>
  <c r="J14" i="1"/>
  <c r="I14" i="1"/>
  <c r="H14" i="1"/>
  <c r="G14" i="1"/>
  <c r="F14" i="1"/>
  <c r="E14" i="1"/>
  <c r="D14" i="1"/>
  <c r="C14" i="1"/>
  <c r="K13" i="1"/>
  <c r="J13" i="1"/>
  <c r="I13" i="1"/>
  <c r="H13" i="1"/>
  <c r="G13" i="1"/>
  <c r="F13" i="1"/>
  <c r="E13" i="1"/>
  <c r="D13" i="1"/>
  <c r="C13" i="1"/>
  <c r="K12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</calcChain>
</file>

<file path=xl/sharedStrings.xml><?xml version="1.0" encoding="utf-8"?>
<sst xmlns="http://schemas.openxmlformats.org/spreadsheetml/2006/main" count="239" uniqueCount="94">
  <si>
    <t>ĐIỂM THI HK1-2018-2019(CT428)</t>
  </si>
  <si>
    <t>Ma CB</t>
  </si>
  <si>
    <t>Ho va ten</t>
  </si>
  <si>
    <t>Nguyen Minh Trung</t>
  </si>
  <si>
    <t>Ma MH</t>
  </si>
  <si>
    <t>CT428</t>
  </si>
  <si>
    <t>Ma NH</t>
  </si>
  <si>
    <t>Nam hoc</t>
  </si>
  <si>
    <t>2020-2021</t>
  </si>
  <si>
    <t>Hoc ky</t>
  </si>
  <si>
    <t>S    T    T</t>
  </si>
  <si>
    <t>Mã SV</t>
  </si>
  <si>
    <t>Họ và Tên</t>
  </si>
  <si>
    <t>Điểm
TH1</t>
  </si>
  <si>
    <t>Điểm
TH2</t>
  </si>
  <si>
    <t>Điểm
TH3</t>
  </si>
  <si>
    <t>Điểm
BT
lớn</t>
  </si>
  <si>
    <t>Điểm
LT</t>
  </si>
  <si>
    <t>Điểm 
tổng</t>
  </si>
  <si>
    <t>Điểm
theo
thang
điểm
10</t>
  </si>
  <si>
    <t>Điểm
chữ</t>
  </si>
  <si>
    <t>0B1505719</t>
  </si>
  <si>
    <t>1B1505915</t>
  </si>
  <si>
    <t>0B1509874</t>
  </si>
  <si>
    <t>0B1509929</t>
  </si>
  <si>
    <t>2B1605223</t>
  </si>
  <si>
    <t>0B1605235</t>
  </si>
  <si>
    <t>0B1605249</t>
  </si>
  <si>
    <t>0B1605285</t>
  </si>
  <si>
    <t>0B1605291</t>
  </si>
  <si>
    <t>1B1605344</t>
  </si>
  <si>
    <t>4B1607025</t>
  </si>
  <si>
    <t>2B1609759</t>
  </si>
  <si>
    <t>5B1609765</t>
  </si>
  <si>
    <t>0B1609773</t>
  </si>
  <si>
    <t>Điểm thực hành các buổi</t>
  </si>
  <si>
    <t>STT</t>
  </si>
  <si>
    <t>Họ và tên</t>
  </si>
  <si>
    <t>Điểm TH 1</t>
  </si>
  <si>
    <t>Điểm TH 2</t>
  </si>
  <si>
    <t>Điểm TH 3</t>
  </si>
  <si>
    <t>B1505719</t>
  </si>
  <si>
    <t>Nguyễn Văn Hiếu</t>
  </si>
  <si>
    <t>B1505915</t>
  </si>
  <si>
    <t>Lý Minh Trí</t>
  </si>
  <si>
    <t>B1509874</t>
  </si>
  <si>
    <t>Nguyễn Kiều Mi</t>
  </si>
  <si>
    <t>B1509929</t>
  </si>
  <si>
    <t>Đặng Duy Linh</t>
  </si>
  <si>
    <t>B1605223</t>
  </si>
  <si>
    <t>Lê Thị Trúc Linh</t>
  </si>
  <si>
    <t>B1605235</t>
  </si>
  <si>
    <t>Phạm Thị Huỳnh</t>
  </si>
  <si>
    <t>B1605249</t>
  </si>
  <si>
    <t>Lê Minh Thông</t>
  </si>
  <si>
    <t>B1605285</t>
  </si>
  <si>
    <t>Huỳnh Thị Diễm</t>
  </si>
  <si>
    <t>B1605291</t>
  </si>
  <si>
    <t>Trần Thanh Nguyên</t>
  </si>
  <si>
    <t>B1605344</t>
  </si>
  <si>
    <t>Nguyễn Thị Đào</t>
  </si>
  <si>
    <t>B1607025</t>
  </si>
  <si>
    <t>Nguyễn Chí Thanh</t>
  </si>
  <si>
    <t>B1609759</t>
  </si>
  <si>
    <t>Nguyễn Hải Anh</t>
  </si>
  <si>
    <t>B1609765</t>
  </si>
  <si>
    <t>Trần Nam Dương</t>
  </si>
  <si>
    <t>B1609773</t>
  </si>
  <si>
    <t>Nguyễn Duy Khanh</t>
  </si>
  <si>
    <t>Điểm bài tập lớn</t>
  </si>
  <si>
    <t>Điểm BL lớn</t>
  </si>
  <si>
    <t>Điểm lý thuyết</t>
  </si>
  <si>
    <t>Nguyễn Phước Hiếu</t>
  </si>
  <si>
    <t>Bảng quy đổi điểm</t>
  </si>
  <si>
    <t>Bảng Điểm Chuyên cần</t>
  </si>
  <si>
    <t>Điểm theo thang điểm 10</t>
  </si>
  <si>
    <t>Điểm chữ</t>
  </si>
  <si>
    <t>Điểm theo thang điểm 4</t>
  </si>
  <si>
    <t>Số buổi vắng</t>
  </si>
  <si>
    <t>Điểm CT</t>
  </si>
  <si>
    <t>F</t>
  </si>
  <si>
    <t>D</t>
  </si>
  <si>
    <t>D+</t>
  </si>
  <si>
    <t>C</t>
  </si>
  <si>
    <t>C+</t>
  </si>
  <si>
    <t>B</t>
  </si>
  <si>
    <t>B+</t>
  </si>
  <si>
    <t>A</t>
  </si>
  <si>
    <t>Danh sách Sinh viên</t>
  </si>
  <si>
    <t>Bảng thống kê theo điểm chữ</t>
  </si>
  <si>
    <t>Số lượng sinh 
viên</t>
  </si>
  <si>
    <t>Bảng thống kê SV</t>
  </si>
  <si>
    <t>Số SV nghỉ TH &gt; 2</t>
  </si>
  <si>
    <t>Số sinh viên điểm BT
lớn = 0 hoặc điểm LT
= 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</si>
</sst>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>
    <font>
      <sz val="11"/>
      <color theme="1"/>
      <name val="Calibri"/>
      <charset val="134"/>
      <scheme val="minor"/>
    </font>
    <font>
      <sz val="11"/>
      <color theme="1"/>
      <name val="Times New Roman"/>
      <charset val="134"/>
    </font>
    <font>
      <b/>
      <sz val="14"/>
      <color theme="4" tint="-0.249977111117893"/>
      <name val="Times New Roman"/>
      <charset val="134"/>
    </font>
    <font>
      <sz val="12"/>
      <color theme="1"/>
      <name val="Times New Roman"/>
      <charset val="134"/>
    </font>
    <font>
      <b/>
      <sz val="12"/>
      <color theme="4" tint="-0.249977111117893"/>
      <name val="Times New Roman"/>
      <charset val="134"/>
    </font>
    <font>
      <b/>
      <sz val="11"/>
      <color theme="4" tint="-0.249977111117893"/>
      <name val="Calibri"/>
      <charset val="134"/>
      <scheme val="minor"/>
    </font>
    <font>
      <b/>
      <sz val="12"/>
      <name val="Times New Roman"/>
      <charset val="134"/>
    </font>
    <font>
      <sz val="12"/>
      <name val="Times New Roman"/>
      <charset val="134"/>
    </font>
    <font>
      <b/>
      <sz val="12"/>
      <color theme="1"/>
      <name val="Times New Roman"/>
      <charset val="134"/>
    </font>
    <font>
      <b/>
      <sz val="14"/>
      <color theme="1"/>
      <name val="Times New Roman"/>
      <charset val="134"/>
    </font>
    <font>
      <b/>
      <sz val="11"/>
      <color theme="1"/>
      <name val="Calibri"/>
      <charset val="134"/>
      <scheme val="minor"/>
    </font>
    <font>
      <sz val="1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6">
    <xf numFmtId="0" fontId="0" fillId="0" borderId="0" xfId="0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1" fillId="0" borderId="1" xfId="0" applyFont="1" applyFill="1" applyBorder="1">
      <alignment vertical="center"/>
    </xf>
    <xf numFmtId="0" fontId="1" fillId="2" borderId="1" xfId="0" applyFont="1" applyFill="1" applyBorder="1">
      <alignment vertical="center"/>
    </xf>
    <xf numFmtId="0" fontId="1" fillId="0" borderId="1" xfId="0" applyFont="1" applyFill="1" applyBorder="1">
      <alignment vertical="center"/>
    </xf>
    <xf numFmtId="0" fontId="1" fillId="0" borderId="1" xfId="0" applyFont="1" applyFill="1" applyBorder="1" applyAlignment="1">
      <alignment horizontal="justify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>
      <alignment vertical="center"/>
    </xf>
    <xf numFmtId="0" fontId="8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5" borderId="1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  <xf numFmtId="0" fontId="9" fillId="0" borderId="0" xfId="0" applyFo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8" fillId="6" borderId="1" xfId="0" applyFont="1" applyFill="1" applyBorder="1" applyAlignment="1">
      <alignment horizontal="justify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justify" vertical="center" wrapText="1"/>
    </xf>
    <xf numFmtId="0" fontId="8" fillId="6" borderId="1" xfId="0" applyFont="1" applyFill="1" applyBorder="1" applyAlignment="1">
      <alignment vertical="center" wrapText="1"/>
    </xf>
    <xf numFmtId="0" fontId="9" fillId="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Thống kê số lượng Sinh </a:t>
            </a:r>
          </a:p>
          <a:p>
            <a:pPr defTabSz="914400">
              <a:defRPr/>
            </a:pPr>
            <a:r>
              <a:rPr lang="vi-VN"/>
              <a:t>viên theo điểm chữ</a:t>
            </a:r>
          </a:p>
          <a:p>
            <a:pPr defTabSz="914400">
              <a:defRPr/>
            </a:pPr>
            <a:endParaRPr lang="vi-VN"/>
          </a:p>
        </c:rich>
      </c:tx>
      <c:layout>
        <c:manualLayout>
          <c:xMode val="edge"/>
          <c:yMode val="edge"/>
          <c:x val="0.30740922473012799"/>
          <c:y val="9.8969072164948393E-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scene3d>
              <a:camera prst="orthographicFront"/>
              <a:lightRig rig="threePt" dir="t"/>
            </a:scene3d>
            <a:sp3d contourW="9525"/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631-4A4E-950E-6B2910905E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631-4A4E-950E-6B2910905E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631-4A4E-950E-6B2910905E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631-4A4E-950E-6B2910905E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631-4A4E-950E-6B2910905E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631-4A4E-950E-6B2910905E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631-4A4E-950E-6B2910905E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  <a:scene3d>
                <a:camera prst="orthographicFront"/>
                <a:lightRig rig="threePt" dir="t"/>
              </a:scene3d>
              <a:sp3d contourW="9525">
                <a:contourClr>
                  <a:schemeClr val="bg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631-4A4E-950E-6B2910905E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'Các bản tham chiếu và thống kê'!$E$14:$E$21</c:f>
              <c:strCache>
                <c:ptCount val="8"/>
                <c:pt idx="0">
                  <c:v>A</c:v>
                </c:pt>
                <c:pt idx="1">
                  <c:v>B+</c:v>
                </c:pt>
                <c:pt idx="2">
                  <c:v>B</c:v>
                </c:pt>
                <c:pt idx="3">
                  <c:v>C+</c:v>
                </c:pt>
                <c:pt idx="4">
                  <c:v>C</c:v>
                </c:pt>
                <c:pt idx="5">
                  <c:v>D+</c:v>
                </c:pt>
                <c:pt idx="6">
                  <c:v>D</c:v>
                </c:pt>
                <c:pt idx="7">
                  <c:v>F</c:v>
                </c:pt>
              </c:strCache>
            </c:strRef>
          </c:cat>
          <c:val>
            <c:numRef>
              <c:f>'Các bản tham chiếu và thống kê'!$F$14:$F$21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5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631-4A4E-950E-6B2910905E8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9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</xdr:colOff>
      <xdr:row>27</xdr:row>
      <xdr:rowOff>99060</xdr:rowOff>
    </xdr:from>
    <xdr:to>
      <xdr:col>4</xdr:col>
      <xdr:colOff>1754505</xdr:colOff>
      <xdr:row>46</xdr:row>
      <xdr:rowOff>182245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"/>
  <sheetViews>
    <sheetView topLeftCell="A4" workbookViewId="0">
      <pane xSplit="2" ySplit="3" topLeftCell="C7" activePane="bottomRight" state="frozen"/>
      <selection pane="topRight"/>
      <selection pane="bottomLeft"/>
      <selection pane="bottomRight" activeCell="K6" sqref="K6"/>
    </sheetView>
  </sheetViews>
  <sheetFormatPr defaultColWidth="8.88671875" defaultRowHeight="14.4"/>
  <cols>
    <col min="1" max="1" width="3.6640625" customWidth="1"/>
    <col min="2" max="2" width="10.88671875" customWidth="1"/>
    <col min="3" max="3" width="16.6640625" customWidth="1"/>
    <col min="4" max="4" width="8.6640625" customWidth="1"/>
    <col min="5" max="5" width="7.44140625" customWidth="1"/>
    <col min="6" max="6" width="7.77734375" customWidth="1"/>
    <col min="7" max="7" width="7.109375" customWidth="1"/>
    <col min="8" max="8" width="8.88671875" customWidth="1"/>
    <col min="9" max="9" width="8.33203125" customWidth="1"/>
    <col min="10" max="10" width="8.109375" customWidth="1"/>
    <col min="11" max="11" width="8.6640625" customWidth="1"/>
  </cols>
  <sheetData>
    <row r="1" spans="1:11" ht="17.399999999999999">
      <c r="A1" s="21"/>
      <c r="B1" s="29" t="s">
        <v>0</v>
      </c>
      <c r="C1" s="29"/>
      <c r="D1" s="29"/>
      <c r="E1" s="29"/>
      <c r="F1" s="29"/>
      <c r="G1" s="29"/>
      <c r="H1" s="29"/>
    </row>
    <row r="2" spans="1:11">
      <c r="B2" s="2" t="s">
        <v>1</v>
      </c>
      <c r="C2" s="22">
        <v>1043</v>
      </c>
      <c r="D2" s="30" t="s">
        <v>2</v>
      </c>
      <c r="E2" s="30"/>
      <c r="F2" s="30" t="s">
        <v>3</v>
      </c>
      <c r="G2" s="30"/>
      <c r="H2" s="30"/>
    </row>
    <row r="3" spans="1:11">
      <c r="B3" s="23" t="s">
        <v>4</v>
      </c>
      <c r="C3" s="2" t="s">
        <v>5</v>
      </c>
      <c r="D3" s="30" t="s">
        <v>6</v>
      </c>
      <c r="E3" s="30"/>
      <c r="F3" s="30">
        <v>8</v>
      </c>
      <c r="G3" s="30"/>
      <c r="H3" s="30"/>
    </row>
    <row r="4" spans="1:11" ht="15" customHeight="1">
      <c r="B4" s="24" t="s">
        <v>7</v>
      </c>
      <c r="C4" s="2" t="s">
        <v>8</v>
      </c>
      <c r="D4" s="30" t="s">
        <v>9</v>
      </c>
      <c r="E4" s="30"/>
      <c r="F4" s="30">
        <v>1</v>
      </c>
      <c r="G4" s="30"/>
      <c r="H4" s="30"/>
    </row>
    <row r="5" spans="1:11" ht="16.95" customHeight="1"/>
    <row r="6" spans="1:11" ht="91.05" customHeight="1">
      <c r="A6" s="25" t="s">
        <v>10</v>
      </c>
      <c r="B6" s="25" t="s">
        <v>11</v>
      </c>
      <c r="C6" s="26" t="s">
        <v>12</v>
      </c>
      <c r="D6" s="27" t="s">
        <v>13</v>
      </c>
      <c r="E6" s="28" t="s">
        <v>14</v>
      </c>
      <c r="F6" s="27" t="s">
        <v>15</v>
      </c>
      <c r="G6" s="27" t="s">
        <v>16</v>
      </c>
      <c r="H6" s="28" t="s">
        <v>17</v>
      </c>
      <c r="I6" s="28" t="s">
        <v>18</v>
      </c>
      <c r="J6" s="28" t="s">
        <v>19</v>
      </c>
      <c r="K6" s="28" t="s">
        <v>20</v>
      </c>
    </row>
    <row r="7" spans="1:11">
      <c r="A7" s="1">
        <v>1</v>
      </c>
      <c r="B7" s="6" t="s">
        <v>21</v>
      </c>
      <c r="C7" s="3" t="str">
        <f>VLOOKUP(RIGHT(B7,8),'Các bản tham chiếu và thống kê'!B:C,2,FALSE)</f>
        <v>Nguyễn Văn Hiếu</v>
      </c>
      <c r="D7" s="3">
        <f>VLOOKUP(RIGHT(B7,8),'Điểm thực hành các buổi'!B:F,3,FALSE)</f>
        <v>0.45</v>
      </c>
      <c r="E7" s="3">
        <f>VLOOKUP(RIGHT(B7,8),'Điểm thực hành các buổi'!B:F,4,FALSE)</f>
        <v>0.25</v>
      </c>
      <c r="F7" s="3">
        <f>VLOOKUP(RIGHT(B7,8),'Điểm thực hành các buổi'!B:F,5,FALSE)</f>
        <v>0.3</v>
      </c>
      <c r="G7" s="3">
        <f>VLOOKUP(RIGHT(B7,8),'Điểm bài tập lớn'!B:D,3,FALSE)</f>
        <v>0.5</v>
      </c>
      <c r="H7" s="3">
        <f>VLOOKUP(RIGHT(B7,8),'Điểm lý thuyết'!B:D,3,FALSE)</f>
        <v>4.2</v>
      </c>
      <c r="I7" s="3">
        <f>IF(H7=-3,0,ROUND(D7+E7+F7+G7+0.6*H7,1))</f>
        <v>4</v>
      </c>
      <c r="J7" s="4">
        <f>IF(OR(G7=0,VALUE(LEFT(B7,1))&gt;2),0,ROUND(I7+VLOOKUP(VALUE(LEFT(B7,1)),'Các bản tham chiếu và thống kê'!$E$3:$F$5,2,FALSE),1))</f>
        <v>5</v>
      </c>
      <c r="K7" s="4" t="str">
        <f>VLOOKUP(J7,'Các bản tham chiếu và thống kê'!$A$3:$C$10,2,TRUE)</f>
        <v>D+</v>
      </c>
    </row>
    <row r="8" spans="1:11">
      <c r="A8" s="1">
        <v>2</v>
      </c>
      <c r="B8" s="3" t="s">
        <v>22</v>
      </c>
      <c r="C8" s="3" t="str">
        <f>VLOOKUP(RIGHT(B8,8),'Các bản tham chiếu và thống kê'!B:C,2,FALSE)</f>
        <v>Lý Minh Trí</v>
      </c>
      <c r="D8" s="3">
        <f>VLOOKUP(RIGHT(B8,8),'Điểm thực hành các buổi'!B:F,3,FALSE)</f>
        <v>0.5</v>
      </c>
      <c r="E8" s="3">
        <f>VLOOKUP(RIGHT(B8,8),'Điểm thực hành các buổi'!B:F,4,FALSE)</f>
        <v>0.35</v>
      </c>
      <c r="F8" s="3">
        <f>VLOOKUP(RIGHT(B8,8),'Điểm thực hành các buổi'!B:F,5,FALSE)</f>
        <v>0.4</v>
      </c>
      <c r="G8" s="3">
        <f>VLOOKUP(RIGHT(B8,8),'Điểm bài tập lớn'!B:D,3,FALSE)</f>
        <v>1</v>
      </c>
      <c r="H8" s="3">
        <f>VLOOKUP(RIGHT(B8,8),'Điểm lý thuyết'!B:D,3,FALSE)</f>
        <v>5.8</v>
      </c>
      <c r="I8" s="3">
        <f t="shared" ref="I8:I20" si="0">IF(H8=-3,0,ROUND(D8+E8+F8+G8+0.6*H8,1))</f>
        <v>5.7</v>
      </c>
      <c r="J8" s="4">
        <f>IF(OR(G8=0,VALUE(LEFT(B8,1))&gt;2),0,ROUND(I8+VLOOKUP(VALUE(LEFT(B8,1)),'Các bản tham chiếu và thống kê'!$E$3:$F$5,2,FALSE),1))</f>
        <v>6.2</v>
      </c>
      <c r="K8" s="4" t="str">
        <f>VLOOKUP(J8,'Các bản tham chiếu và thống kê'!$A$3:$C$10,2,TRUE)</f>
        <v>C</v>
      </c>
    </row>
    <row r="9" spans="1:11">
      <c r="A9" s="1">
        <v>3</v>
      </c>
      <c r="B9" s="2" t="s">
        <v>23</v>
      </c>
      <c r="C9" s="3" t="str">
        <f>VLOOKUP(RIGHT(B9,8),'Các bản tham chiếu và thống kê'!B:C,2,FALSE)</f>
        <v>Nguyễn Kiều Mi</v>
      </c>
      <c r="D9" s="3">
        <f>VLOOKUP(RIGHT(B9,8),'Điểm thực hành các buổi'!B:F,3,FALSE)</f>
        <v>0.25</v>
      </c>
      <c r="E9" s="3">
        <f>VLOOKUP(RIGHT(B9,8),'Điểm thực hành các buổi'!B:F,4,FALSE)</f>
        <v>0.25</v>
      </c>
      <c r="F9" s="3">
        <f>VLOOKUP(RIGHT(B9,8),'Điểm thực hành các buổi'!B:F,5,FALSE)</f>
        <v>0.3</v>
      </c>
      <c r="G9" s="3">
        <f>VLOOKUP(RIGHT(B9,8),'Điểm bài tập lớn'!B:D,3,FALSE)</f>
        <v>0.5</v>
      </c>
      <c r="H9" s="3">
        <f>VLOOKUP(RIGHT(B9,8),'Điểm lý thuyết'!B:D,3,FALSE)</f>
        <v>5.8</v>
      </c>
      <c r="I9" s="3">
        <f t="shared" si="0"/>
        <v>4.8</v>
      </c>
      <c r="J9" s="4">
        <f>IF(OR(G9=0,VALUE(LEFT(B9,1))&gt;2),0,ROUND(I9+VLOOKUP(VALUE(LEFT(B9,1)),'Các bản tham chiếu và thống kê'!$E$3:$F$5,2,FALSE),1))</f>
        <v>5.8</v>
      </c>
      <c r="K9" s="4" t="str">
        <f>VLOOKUP(J9,'Các bản tham chiếu và thống kê'!$A$3:$C$10,2,TRUE)</f>
        <v>C</v>
      </c>
    </row>
    <row r="10" spans="1:11">
      <c r="A10" s="1">
        <v>4</v>
      </c>
      <c r="B10" s="2" t="s">
        <v>24</v>
      </c>
      <c r="C10" s="3" t="str">
        <f>VLOOKUP(RIGHT(B10,8),'Các bản tham chiếu và thống kê'!B:C,2,FALSE)</f>
        <v>Đặng Duy Linh</v>
      </c>
      <c r="D10" s="3">
        <f>VLOOKUP(RIGHT(B10,8),'Điểm thực hành các buổi'!B:F,3,FALSE)</f>
        <v>0.4</v>
      </c>
      <c r="E10" s="3">
        <f>VLOOKUP(RIGHT(B10,8),'Điểm thực hành các buổi'!B:F,4,FALSE)</f>
        <v>0.25</v>
      </c>
      <c r="F10" s="3">
        <f>VLOOKUP(RIGHT(B10,8),'Điểm thực hành các buổi'!B:F,5,FALSE)</f>
        <v>0.35</v>
      </c>
      <c r="G10" s="3">
        <f>VLOOKUP(RIGHT(B10,8),'Điểm bài tập lớn'!B:D,3,FALSE)</f>
        <v>1</v>
      </c>
      <c r="H10" s="3">
        <f>VLOOKUP(RIGHT(B10,8),'Điểm lý thuyết'!B:D,3,FALSE)</f>
        <v>4.5</v>
      </c>
      <c r="I10" s="3">
        <f t="shared" si="0"/>
        <v>4.7</v>
      </c>
      <c r="J10" s="4">
        <f>IF(OR(G10=0,VALUE(LEFT(B10,1))&gt;2),0,ROUND(I10+VLOOKUP(VALUE(LEFT(B10,1)),'Các bản tham chiếu và thống kê'!$E$3:$F$5,2,FALSE),1))</f>
        <v>5.7</v>
      </c>
      <c r="K10" s="4" t="str">
        <f>VLOOKUP(J10,'Các bản tham chiếu và thống kê'!$A$3:$C$10,2,TRUE)</f>
        <v>C</v>
      </c>
    </row>
    <row r="11" spans="1:11">
      <c r="A11" s="1">
        <v>5</v>
      </c>
      <c r="B11" s="2" t="s">
        <v>25</v>
      </c>
      <c r="C11" s="3" t="str">
        <f>VLOOKUP(RIGHT(B11,8),'Các bản tham chiếu và thống kê'!B:C,2,FALSE)</f>
        <v>Lê Thị Trúc Linh</v>
      </c>
      <c r="D11" s="3">
        <f>VLOOKUP(RIGHT(B11,8),'Điểm thực hành các buổi'!B:F,3,FALSE)</f>
        <v>0.45</v>
      </c>
      <c r="E11" s="3">
        <f>VLOOKUP(RIGHT(B11,8),'Điểm thực hành các buổi'!B:F,4,FALSE)</f>
        <v>0.4</v>
      </c>
      <c r="F11" s="3">
        <f>VLOOKUP(RIGHT(B11,8),'Điểm thực hành các buổi'!B:F,5,FALSE)</f>
        <v>0.35</v>
      </c>
      <c r="G11" s="3">
        <f>VLOOKUP(RIGHT(B11,8),'Điểm bài tập lớn'!B:D,3,FALSE)</f>
        <v>0.75</v>
      </c>
      <c r="H11" s="3">
        <f>VLOOKUP(RIGHT(B11,8),'Điểm lý thuyết'!B:D,3,FALSE)</f>
        <v>5.5</v>
      </c>
      <c r="I11" s="3">
        <f t="shared" si="0"/>
        <v>5.3</v>
      </c>
      <c r="J11" s="4">
        <f>IF(OR(G11=0,VALUE(LEFT(B11,1))&gt;2),0,ROUND(I11+VLOOKUP(VALUE(LEFT(B11,1)),'Các bản tham chiếu và thống kê'!$E$3:$F$5,2,FALSE),1))</f>
        <v>5.6</v>
      </c>
      <c r="K11" s="4" t="str">
        <f>VLOOKUP(J11,'Các bản tham chiếu và thống kê'!$A$3:$C$10,2,TRUE)</f>
        <v>C</v>
      </c>
    </row>
    <row r="12" spans="1:11">
      <c r="A12" s="1">
        <v>6</v>
      </c>
      <c r="B12" s="2" t="s">
        <v>26</v>
      </c>
      <c r="C12" s="3" t="str">
        <f>VLOOKUP(RIGHT(B12,8),'Các bản tham chiếu và thống kê'!B:C,2,FALSE)</f>
        <v>Phạm Thị Huỳnh</v>
      </c>
      <c r="D12" s="3">
        <f>VLOOKUP(RIGHT(B12,8),'Điểm thực hành các buổi'!B:F,3,FALSE)</f>
        <v>0.4</v>
      </c>
      <c r="E12" s="3">
        <f>VLOOKUP(RIGHT(B12,8),'Điểm thực hành các buổi'!B:F,4,FALSE)</f>
        <v>0.45</v>
      </c>
      <c r="F12" s="3">
        <f>VLOOKUP(RIGHT(B12,8),'Điểm thực hành các buổi'!B:F,5,FALSE)</f>
        <v>0.5</v>
      </c>
      <c r="G12" s="3">
        <f>VLOOKUP(RIGHT(B12,8),'Điểm bài tập lớn'!B:D,3,FALSE)</f>
        <v>1.2</v>
      </c>
      <c r="H12" s="3">
        <f>VLOOKUP(RIGHT(B12,8),'Điểm lý thuyết'!B:D,3,FALSE)</f>
        <v>7.5</v>
      </c>
      <c r="I12" s="3">
        <f t="shared" si="0"/>
        <v>7.1</v>
      </c>
      <c r="J12" s="4">
        <f>IF(OR(G12=0,VALUE(LEFT(B12,1))&gt;2),0,ROUND(I12+VLOOKUP(VALUE(LEFT(B12,1)),'Các bản tham chiếu và thống kê'!$E$3:$F$5,2,FALSE),1))</f>
        <v>8.1</v>
      </c>
      <c r="K12" s="4" t="str">
        <f>VLOOKUP(J12,'Các bản tham chiếu và thống kê'!$A$3:$C$10,2,TRUE)</f>
        <v>B+</v>
      </c>
    </row>
    <row r="13" spans="1:11">
      <c r="A13" s="1">
        <v>7</v>
      </c>
      <c r="B13" s="2" t="s">
        <v>27</v>
      </c>
      <c r="C13" s="3" t="str">
        <f>VLOOKUP(RIGHT(B13,8),'Các bản tham chiếu và thống kê'!B:C,2,FALSE)</f>
        <v>Lê Minh Thông</v>
      </c>
      <c r="D13" s="3">
        <f>VLOOKUP(RIGHT(B13,8),'Điểm thực hành các buổi'!B:F,3,FALSE)</f>
        <v>0.4</v>
      </c>
      <c r="E13" s="3">
        <f>VLOOKUP(RIGHT(B13,8),'Điểm thực hành các buổi'!B:F,4,FALSE)</f>
        <v>0.4</v>
      </c>
      <c r="F13" s="3">
        <f>VLOOKUP(RIGHT(B13,8),'Điểm thực hành các buổi'!B:F,5,FALSE)</f>
        <v>0.4</v>
      </c>
      <c r="G13" s="3">
        <f>VLOOKUP(RIGHT(B13,8),'Điểm bài tập lớn'!B:D,3,FALSE)</f>
        <v>1</v>
      </c>
      <c r="H13" s="3">
        <f>VLOOKUP(RIGHT(B13,8),'Điểm lý thuyết'!B:D,3,FALSE)</f>
        <v>5.3</v>
      </c>
      <c r="I13" s="3">
        <f t="shared" si="0"/>
        <v>5.4</v>
      </c>
      <c r="J13" s="4">
        <f>IF(OR(G13=0,VALUE(LEFT(B13,1))&gt;2),0,ROUND(I13+VLOOKUP(VALUE(LEFT(B13,1)),'Các bản tham chiếu và thống kê'!$E$3:$F$5,2,FALSE),1))</f>
        <v>6.4</v>
      </c>
      <c r="K13" s="4" t="str">
        <f>VLOOKUP(J13,'Các bản tham chiếu và thống kê'!$A$3:$C$10,2,TRUE)</f>
        <v>C</v>
      </c>
    </row>
    <row r="14" spans="1:11">
      <c r="A14" s="1">
        <v>8</v>
      </c>
      <c r="B14" s="2" t="s">
        <v>28</v>
      </c>
      <c r="C14" s="3" t="str">
        <f>VLOOKUP(RIGHT(B14,8),'Các bản tham chiếu và thống kê'!B:C,2,FALSE)</f>
        <v>Huỳnh Thị Diễm</v>
      </c>
      <c r="D14" s="3">
        <f>VLOOKUP(RIGHT(B14,8),'Điểm thực hành các buổi'!B:F,3,FALSE)</f>
        <v>0.45</v>
      </c>
      <c r="E14" s="3">
        <f>VLOOKUP(RIGHT(B14,8),'Điểm thực hành các buổi'!B:F,4,FALSE)</f>
        <v>0.4</v>
      </c>
      <c r="F14" s="3">
        <f>VLOOKUP(RIGHT(B14,8),'Điểm thực hành các buổi'!B:F,5,FALSE)</f>
        <v>0.45</v>
      </c>
      <c r="G14" s="3">
        <f>VLOOKUP(RIGHT(B14,8),'Điểm bài tập lớn'!B:D,3,FALSE)</f>
        <v>0</v>
      </c>
      <c r="H14" s="3">
        <f>VLOOKUP(RIGHT(B14,8),'Điểm lý thuyết'!B:D,3,FALSE)</f>
        <v>6.8</v>
      </c>
      <c r="I14" s="3">
        <f t="shared" si="0"/>
        <v>5.4</v>
      </c>
      <c r="J14" s="4">
        <f>IF(OR(G14=0,VALUE(LEFT(B14,1))&gt;2),0,ROUND(I14+VLOOKUP(VALUE(LEFT(B14,1)),'Các bản tham chiếu và thống kê'!$E$3:$F$5,2,FALSE),1))</f>
        <v>0</v>
      </c>
      <c r="K14" s="4" t="str">
        <f>VLOOKUP(J14,'Các bản tham chiếu và thống kê'!$A$3:$C$10,2,TRUE)</f>
        <v>F</v>
      </c>
    </row>
    <row r="15" spans="1:11">
      <c r="A15" s="1">
        <v>9</v>
      </c>
      <c r="B15" s="2" t="s">
        <v>29</v>
      </c>
      <c r="C15" s="3" t="str">
        <f>VLOOKUP(RIGHT(B15,8),'Các bản tham chiếu và thống kê'!B:C,2,FALSE)</f>
        <v>Trần Thanh Nguyên</v>
      </c>
      <c r="D15" s="3">
        <f>VLOOKUP(RIGHT(B15,8),'Điểm thực hành các buổi'!B:F,3,FALSE)</f>
        <v>0.45</v>
      </c>
      <c r="E15" s="3">
        <f>VLOOKUP(RIGHT(B15,8),'Điểm thực hành các buổi'!B:F,4,FALSE)</f>
        <v>0.4</v>
      </c>
      <c r="F15" s="3">
        <f>VLOOKUP(RIGHT(B15,8),'Điểm thực hành các buổi'!B:F,5,FALSE)</f>
        <v>0.4</v>
      </c>
      <c r="G15" s="3">
        <f>VLOOKUP(RIGHT(B15,8),'Điểm bài tập lớn'!B:D,3,FALSE)</f>
        <v>0.75</v>
      </c>
      <c r="H15" s="3">
        <f>VLOOKUP(RIGHT(B15,8),'Điểm lý thuyết'!B:D,3,FALSE)</f>
        <v>6.3</v>
      </c>
      <c r="I15" s="3">
        <f t="shared" si="0"/>
        <v>5.8</v>
      </c>
      <c r="J15" s="4">
        <f>IF(OR(G15=0,VALUE(LEFT(B15,1))&gt;2),0,ROUND(I15+VLOOKUP(VALUE(LEFT(B15,1)),'Các bản tham chiếu và thống kê'!$E$3:$F$5,2,FALSE),1))</f>
        <v>6.8</v>
      </c>
      <c r="K15" s="4" t="str">
        <f>VLOOKUP(J15,'Các bản tham chiếu và thống kê'!$A$3:$C$10,2,TRUE)</f>
        <v>C+</v>
      </c>
    </row>
    <row r="16" spans="1:11">
      <c r="A16" s="1">
        <v>10</v>
      </c>
      <c r="B16" s="2" t="s">
        <v>30</v>
      </c>
      <c r="C16" s="3" t="str">
        <f>VLOOKUP(RIGHT(B16,8),'Các bản tham chiếu và thống kê'!B:C,2,FALSE)</f>
        <v>Nguyễn Thị Đào</v>
      </c>
      <c r="D16" s="3">
        <f>VLOOKUP(RIGHT(B16,8),'Điểm thực hành các buổi'!B:F,3,FALSE)</f>
        <v>0.3</v>
      </c>
      <c r="E16" s="3">
        <f>VLOOKUP(RIGHT(B16,8),'Điểm thực hành các buổi'!B:F,4,FALSE)</f>
        <v>0.5</v>
      </c>
      <c r="F16" s="3">
        <f>VLOOKUP(RIGHT(B16,8),'Điểm thực hành các buổi'!B:F,5,FALSE)</f>
        <v>0.45</v>
      </c>
      <c r="G16" s="3">
        <f>VLOOKUP(RIGHT(B16,8),'Điểm bài tập lớn'!B:D,3,FALSE)</f>
        <v>0.3</v>
      </c>
      <c r="H16" s="3">
        <f>VLOOKUP(RIGHT(B16,8),'Điểm lý thuyết'!B:D,3,FALSE)</f>
        <v>8.3000000000000007</v>
      </c>
      <c r="I16" s="3">
        <f t="shared" si="0"/>
        <v>6.5</v>
      </c>
      <c r="J16" s="4">
        <f>IF(OR(G16=0,VALUE(LEFT(B16,1))&gt;2),0,ROUND(I16+VLOOKUP(VALUE(LEFT(B16,1)),'Các bản tham chiếu và thống kê'!$E$3:$F$5,2,FALSE),1))</f>
        <v>7</v>
      </c>
      <c r="K16" s="4" t="str">
        <f>VLOOKUP(J16,'Các bản tham chiếu và thống kê'!$A$3:$C$10,2,TRUE)</f>
        <v>B</v>
      </c>
    </row>
    <row r="17" spans="1:11">
      <c r="A17" s="1">
        <v>11</v>
      </c>
      <c r="B17" s="2" t="s">
        <v>31</v>
      </c>
      <c r="C17" s="3" t="str">
        <f>VLOOKUP(RIGHT(B17,8),'Các bản tham chiếu và thống kê'!B:C,2,FALSE)</f>
        <v>Nguyễn Chí Thanh</v>
      </c>
      <c r="D17" s="3">
        <f>VLOOKUP(RIGHT(B17,8),'Điểm thực hành các buổi'!B:F,3,FALSE)</f>
        <v>0.4</v>
      </c>
      <c r="E17" s="3">
        <f>VLOOKUP(RIGHT(B17,8),'Điểm thực hành các buổi'!B:F,4,FALSE)</f>
        <v>0.45</v>
      </c>
      <c r="F17" s="3">
        <f>VLOOKUP(RIGHT(B17,8),'Điểm thực hành các buổi'!B:F,5,FALSE)</f>
        <v>0.4</v>
      </c>
      <c r="G17" s="3">
        <f>VLOOKUP(RIGHT(B17,8),'Điểm bài tập lớn'!B:D,3,FALSE)</f>
        <v>0.3</v>
      </c>
      <c r="H17" s="3">
        <f>VLOOKUP(RIGHT(B17,8),'Điểm lý thuyết'!B:D,3,FALSE)</f>
        <v>-3</v>
      </c>
      <c r="I17" s="3">
        <f t="shared" si="0"/>
        <v>0</v>
      </c>
      <c r="J17" s="4">
        <f>IF(OR(G17=0,VALUE(LEFT(B17,1))&gt;2),0,ROUND(I17+VLOOKUP(VALUE(LEFT(B17,1)),'Các bản tham chiếu và thống kê'!$E$3:$F$5,2,FALSE),1))</f>
        <v>0</v>
      </c>
      <c r="K17" s="4" t="str">
        <f>VLOOKUP(J17,'Các bản tham chiếu và thống kê'!$A$3:$C$10,2,TRUE)</f>
        <v>F</v>
      </c>
    </row>
    <row r="18" spans="1:11">
      <c r="A18" s="1">
        <v>12</v>
      </c>
      <c r="B18" s="2" t="s">
        <v>32</v>
      </c>
      <c r="C18" s="3" t="str">
        <f>VLOOKUP(RIGHT(B18,8),'Các bản tham chiếu và thống kê'!B:C,2,FALSE)</f>
        <v>Nguyễn Hải Anh</v>
      </c>
      <c r="D18" s="3">
        <f>VLOOKUP(RIGHT(B18,8),'Điểm thực hành các buổi'!B:F,3,FALSE)</f>
        <v>0.5</v>
      </c>
      <c r="E18" s="3">
        <f>VLOOKUP(RIGHT(B18,8),'Điểm thực hành các buổi'!B:F,4,FALSE)</f>
        <v>0.5</v>
      </c>
      <c r="F18" s="3">
        <f>VLOOKUP(RIGHT(B18,8),'Điểm thực hành các buổi'!B:F,5,FALSE)</f>
        <v>0.45</v>
      </c>
      <c r="G18" s="3">
        <f>VLOOKUP(RIGHT(B18,8),'Điểm bài tập lớn'!B:D,3,FALSE)</f>
        <v>1.5</v>
      </c>
      <c r="H18" s="3">
        <f>VLOOKUP(RIGHT(B18,8),'Điểm lý thuyết'!B:D,3,FALSE)</f>
        <v>7</v>
      </c>
      <c r="I18" s="3">
        <f t="shared" si="0"/>
        <v>7.2</v>
      </c>
      <c r="J18" s="4">
        <f>IF(OR(G18=0,VALUE(LEFT(B18,1))&gt;2),0,ROUND(I18+VLOOKUP(VALUE(LEFT(B18,1)),'Các bản tham chiếu và thống kê'!$E$3:$F$5,2,FALSE),1))</f>
        <v>7.5</v>
      </c>
      <c r="K18" s="4" t="str">
        <f>VLOOKUP(J18,'Các bản tham chiếu và thống kê'!$A$3:$C$10,2,TRUE)</f>
        <v>B</v>
      </c>
    </row>
    <row r="19" spans="1:11">
      <c r="A19" s="1">
        <v>13</v>
      </c>
      <c r="B19" s="2" t="s">
        <v>33</v>
      </c>
      <c r="C19" s="3" t="str">
        <f>VLOOKUP(RIGHT(B19,8),'Các bản tham chiếu và thống kê'!B:C,2,FALSE)</f>
        <v>Trần Nam Dương</v>
      </c>
      <c r="D19" s="3">
        <f>VLOOKUP(RIGHT(B19,8),'Điểm thực hành các buổi'!B:F,3,FALSE)</f>
        <v>0.4</v>
      </c>
      <c r="E19" s="3">
        <f>VLOOKUP(RIGHT(B19,8),'Điểm thực hành các buổi'!B:F,4,FALSE)</f>
        <v>0.4</v>
      </c>
      <c r="F19" s="3">
        <f>VLOOKUP(RIGHT(B19,8),'Điểm thực hành các buổi'!B:F,5,FALSE)</f>
        <v>0.35</v>
      </c>
      <c r="G19" s="3">
        <f>VLOOKUP(RIGHT(B19,8),'Điểm bài tập lớn'!B:D,3,FALSE)</f>
        <v>1.35</v>
      </c>
      <c r="H19" s="3">
        <f>VLOOKUP(RIGHT(B19,8),'Điểm lý thuyết'!B:D,3,FALSE)</f>
        <v>-3</v>
      </c>
      <c r="I19" s="3">
        <f t="shared" si="0"/>
        <v>0</v>
      </c>
      <c r="J19" s="4">
        <f>IF(OR(G19=0,VALUE(LEFT(B19,1))&gt;2),0,ROUND(I19+VLOOKUP(VALUE(LEFT(B19,1)),'Các bản tham chiếu và thống kê'!$E$3:$F$5,2,FALSE),1))</f>
        <v>0</v>
      </c>
      <c r="K19" s="4" t="str">
        <f>VLOOKUP(J19,'Các bản tham chiếu và thống kê'!$A$3:$C$10,2,TRUE)</f>
        <v>F</v>
      </c>
    </row>
    <row r="20" spans="1:11">
      <c r="A20" s="1">
        <v>14</v>
      </c>
      <c r="B20" s="2" t="s">
        <v>34</v>
      </c>
      <c r="C20" s="3" t="str">
        <f>VLOOKUP(RIGHT(B20,8),'Các bản tham chiếu và thống kê'!B:C,2,FALSE)</f>
        <v>Nguyễn Duy Khanh</v>
      </c>
      <c r="D20" s="3">
        <f>VLOOKUP(RIGHT(B20,8),'Điểm thực hành các buổi'!B:F,3,FALSE)</f>
        <v>0.35</v>
      </c>
      <c r="E20" s="3">
        <f>VLOOKUP(RIGHT(B20,8),'Điểm thực hành các buổi'!B:F,4,FALSE)</f>
        <v>0.4</v>
      </c>
      <c r="F20" s="3">
        <f>VLOOKUP(RIGHT(B20,8),'Điểm thực hành các buổi'!B:F,5,FALSE)</f>
        <v>0</v>
      </c>
      <c r="G20" s="3">
        <f>VLOOKUP(RIGHT(B20,8),'Điểm bài tập lớn'!B:D,3,FALSE)</f>
        <v>0.85</v>
      </c>
      <c r="H20" s="3">
        <f>VLOOKUP(RIGHT(B20,8),'Điểm lý thuyết'!B:D,3,FALSE)</f>
        <v>6.5</v>
      </c>
      <c r="I20" s="3">
        <f t="shared" si="0"/>
        <v>5.5</v>
      </c>
      <c r="J20" s="4">
        <f>IF(OR(G20=0,VALUE(LEFT(B20,1))&gt;2),0,ROUND(I20+VLOOKUP(VALUE(LEFT(B20,1)),'Các bản tham chiếu và thống kê'!$E$3:$F$5,2,FALSE),1))</f>
        <v>6.5</v>
      </c>
      <c r="K20" s="4" t="str">
        <f>VLOOKUP(J20,'Các bản tham chiếu và thống kê'!$A$3:$C$10,2,TRUE)</f>
        <v>C+</v>
      </c>
    </row>
  </sheetData>
  <mergeCells count="7">
    <mergeCell ref="D4:E4"/>
    <mergeCell ref="F4:H4"/>
    <mergeCell ref="B1:H1"/>
    <mergeCell ref="D2:E2"/>
    <mergeCell ref="F2:H2"/>
    <mergeCell ref="D3:E3"/>
    <mergeCell ref="F3:H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2" sqref="G2"/>
    </sheetView>
  </sheetViews>
  <sheetFormatPr defaultColWidth="15.33203125" defaultRowHeight="14.4"/>
  <cols>
    <col min="1" max="1" width="7.109375" customWidth="1"/>
    <col min="2" max="2" width="11" customWidth="1"/>
    <col min="3" max="3" width="19.21875" customWidth="1"/>
    <col min="4" max="4" width="15.33203125" customWidth="1"/>
  </cols>
  <sheetData>
    <row r="1" spans="1:7" ht="27" customHeight="1">
      <c r="A1" s="31" t="s">
        <v>35</v>
      </c>
      <c r="B1" s="31"/>
      <c r="C1" s="31"/>
      <c r="D1" s="31"/>
      <c r="E1" s="31"/>
      <c r="F1" s="31"/>
      <c r="G1" s="19"/>
    </row>
    <row r="2" spans="1:7" ht="15.6">
      <c r="A2" s="18" t="s">
        <v>36</v>
      </c>
      <c r="B2" s="18" t="s">
        <v>11</v>
      </c>
      <c r="C2" s="18" t="s">
        <v>37</v>
      </c>
      <c r="D2" s="18" t="s">
        <v>38</v>
      </c>
      <c r="E2" s="18" t="s">
        <v>39</v>
      </c>
      <c r="F2" s="18" t="s">
        <v>40</v>
      </c>
      <c r="G2" s="20"/>
    </row>
    <row r="3" spans="1:7" ht="15.6">
      <c r="A3" s="7">
        <v>1</v>
      </c>
      <c r="B3" s="7" t="s">
        <v>41</v>
      </c>
      <c r="C3" s="10" t="s">
        <v>42</v>
      </c>
      <c r="D3" s="7">
        <v>0.45</v>
      </c>
      <c r="E3" s="7">
        <v>0.25</v>
      </c>
      <c r="F3" s="7">
        <v>0.3</v>
      </c>
    </row>
    <row r="4" spans="1:7" ht="15.6">
      <c r="A4" s="7">
        <v>2</v>
      </c>
      <c r="B4" s="7" t="s">
        <v>43</v>
      </c>
      <c r="C4" s="10" t="s">
        <v>44</v>
      </c>
      <c r="D4" s="7">
        <v>0.5</v>
      </c>
      <c r="E4" s="7">
        <v>0.35</v>
      </c>
      <c r="F4" s="7">
        <v>0.4</v>
      </c>
    </row>
    <row r="5" spans="1:7" ht="15.6">
      <c r="A5" s="7">
        <v>3</v>
      </c>
      <c r="B5" s="7" t="s">
        <v>45</v>
      </c>
      <c r="C5" s="10" t="s">
        <v>46</v>
      </c>
      <c r="D5" s="7">
        <v>0.25</v>
      </c>
      <c r="E5" s="7">
        <v>0.25</v>
      </c>
      <c r="F5" s="7">
        <v>0.3</v>
      </c>
    </row>
    <row r="6" spans="1:7" ht="15.6">
      <c r="A6" s="7">
        <v>4</v>
      </c>
      <c r="B6" s="7" t="s">
        <v>47</v>
      </c>
      <c r="C6" s="10" t="s">
        <v>48</v>
      </c>
      <c r="D6" s="7">
        <v>0.4</v>
      </c>
      <c r="E6" s="7">
        <v>0.25</v>
      </c>
      <c r="F6" s="7">
        <v>0.35</v>
      </c>
    </row>
    <row r="7" spans="1:7" ht="15.6">
      <c r="A7" s="7">
        <v>5</v>
      </c>
      <c r="B7" s="7" t="s">
        <v>49</v>
      </c>
      <c r="C7" s="10" t="s">
        <v>50</v>
      </c>
      <c r="D7" s="7">
        <v>0.45</v>
      </c>
      <c r="E7" s="7">
        <v>0.4</v>
      </c>
      <c r="F7" s="7">
        <v>0.35</v>
      </c>
    </row>
    <row r="8" spans="1:7" ht="15.6">
      <c r="A8" s="7">
        <v>6</v>
      </c>
      <c r="B8" s="7" t="s">
        <v>51</v>
      </c>
      <c r="C8" s="10" t="s">
        <v>52</v>
      </c>
      <c r="D8" s="7">
        <v>0.4</v>
      </c>
      <c r="E8" s="7">
        <v>0.45</v>
      </c>
      <c r="F8" s="7">
        <v>0.5</v>
      </c>
    </row>
    <row r="9" spans="1:7" ht="15.6">
      <c r="A9" s="7">
        <v>7</v>
      </c>
      <c r="B9" s="7" t="s">
        <v>53</v>
      </c>
      <c r="C9" s="10" t="s">
        <v>54</v>
      </c>
      <c r="D9" s="7">
        <v>0.4</v>
      </c>
      <c r="E9" s="7">
        <v>0.4</v>
      </c>
      <c r="F9" s="7">
        <v>0.4</v>
      </c>
    </row>
    <row r="10" spans="1:7" ht="15.6">
      <c r="A10" s="7">
        <v>8</v>
      </c>
      <c r="B10" s="7" t="s">
        <v>55</v>
      </c>
      <c r="C10" s="10" t="s">
        <v>56</v>
      </c>
      <c r="D10" s="7">
        <v>0.45</v>
      </c>
      <c r="E10" s="7">
        <v>0.4</v>
      </c>
      <c r="F10" s="7">
        <v>0.45</v>
      </c>
    </row>
    <row r="11" spans="1:7" ht="15.6">
      <c r="A11" s="7">
        <v>9</v>
      </c>
      <c r="B11" s="7" t="s">
        <v>57</v>
      </c>
      <c r="C11" s="10" t="s">
        <v>58</v>
      </c>
      <c r="D11" s="7">
        <v>0.45</v>
      </c>
      <c r="E11" s="7">
        <v>0.4</v>
      </c>
      <c r="F11" s="7">
        <v>0.4</v>
      </c>
    </row>
    <row r="12" spans="1:7" ht="15.6">
      <c r="A12" s="7">
        <v>10</v>
      </c>
      <c r="B12" s="7" t="s">
        <v>59</v>
      </c>
      <c r="C12" s="10" t="s">
        <v>60</v>
      </c>
      <c r="D12" s="7">
        <v>0.3</v>
      </c>
      <c r="E12" s="7">
        <v>0.5</v>
      </c>
      <c r="F12" s="7">
        <v>0.45</v>
      </c>
    </row>
    <row r="13" spans="1:7" ht="15.6">
      <c r="A13" s="7">
        <v>11</v>
      </c>
      <c r="B13" s="7" t="s">
        <v>61</v>
      </c>
      <c r="C13" s="10" t="s">
        <v>62</v>
      </c>
      <c r="D13" s="7">
        <v>0.4</v>
      </c>
      <c r="E13" s="7">
        <v>0.45</v>
      </c>
      <c r="F13" s="7">
        <v>0.4</v>
      </c>
    </row>
    <row r="14" spans="1:7" ht="15.6">
      <c r="A14" s="7">
        <v>12</v>
      </c>
      <c r="B14" s="7" t="s">
        <v>63</v>
      </c>
      <c r="C14" s="10" t="s">
        <v>64</v>
      </c>
      <c r="D14" s="7">
        <v>0.5</v>
      </c>
      <c r="E14" s="7">
        <v>0.5</v>
      </c>
      <c r="F14" s="7">
        <v>0.45</v>
      </c>
    </row>
    <row r="15" spans="1:7" ht="15.6">
      <c r="A15" s="7">
        <v>13</v>
      </c>
      <c r="B15" s="7" t="s">
        <v>65</v>
      </c>
      <c r="C15" s="10" t="s">
        <v>66</v>
      </c>
      <c r="D15" s="7">
        <v>0.4</v>
      </c>
      <c r="E15" s="7">
        <v>0.4</v>
      </c>
      <c r="F15" s="7">
        <v>0.35</v>
      </c>
    </row>
    <row r="16" spans="1:7" ht="15.6">
      <c r="A16" s="7">
        <v>14</v>
      </c>
      <c r="B16" s="7" t="s">
        <v>67</v>
      </c>
      <c r="C16" s="10" t="s">
        <v>68</v>
      </c>
      <c r="D16" s="7">
        <v>0.35</v>
      </c>
      <c r="E16" s="7">
        <v>0.4</v>
      </c>
      <c r="F16" s="7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selection activeCell="B25" sqref="B25"/>
    </sheetView>
  </sheetViews>
  <sheetFormatPr defaultColWidth="18.88671875" defaultRowHeight="15.6"/>
  <cols>
    <col min="1" max="1" width="14.44140625" style="8" customWidth="1"/>
    <col min="2" max="4" width="18.88671875" style="8" customWidth="1"/>
    <col min="5" max="5" width="18.88671875" customWidth="1"/>
  </cols>
  <sheetData>
    <row r="1" spans="1:4" ht="22.05" customHeight="1">
      <c r="A1" s="32" t="s">
        <v>69</v>
      </c>
      <c r="B1" s="32"/>
      <c r="C1" s="32"/>
      <c r="D1" s="32"/>
    </row>
    <row r="2" spans="1:4">
      <c r="A2" s="18" t="s">
        <v>36</v>
      </c>
      <c r="B2" s="18" t="s">
        <v>11</v>
      </c>
      <c r="C2" s="18" t="s">
        <v>37</v>
      </c>
      <c r="D2" s="18" t="s">
        <v>70</v>
      </c>
    </row>
    <row r="3" spans="1:4">
      <c r="A3" s="7">
        <v>1</v>
      </c>
      <c r="B3" s="7" t="s">
        <v>41</v>
      </c>
      <c r="C3" s="7" t="s">
        <v>42</v>
      </c>
      <c r="D3" s="7">
        <v>0.5</v>
      </c>
    </row>
    <row r="4" spans="1:4">
      <c r="A4" s="7">
        <v>2</v>
      </c>
      <c r="B4" s="7" t="s">
        <v>43</v>
      </c>
      <c r="C4" s="7" t="s">
        <v>44</v>
      </c>
      <c r="D4" s="7">
        <v>1</v>
      </c>
    </row>
    <row r="5" spans="1:4">
      <c r="A5" s="7">
        <v>3</v>
      </c>
      <c r="B5" s="7" t="s">
        <v>45</v>
      </c>
      <c r="C5" s="7" t="s">
        <v>46</v>
      </c>
      <c r="D5" s="7">
        <v>0.5</v>
      </c>
    </row>
    <row r="6" spans="1:4">
      <c r="A6" s="7">
        <v>4</v>
      </c>
      <c r="B6" s="7" t="s">
        <v>47</v>
      </c>
      <c r="C6" s="7" t="s">
        <v>48</v>
      </c>
      <c r="D6" s="7">
        <v>1</v>
      </c>
    </row>
    <row r="7" spans="1:4">
      <c r="A7" s="7">
        <v>5</v>
      </c>
      <c r="B7" s="7" t="s">
        <v>49</v>
      </c>
      <c r="C7" s="7" t="s">
        <v>50</v>
      </c>
      <c r="D7" s="7">
        <v>0.75</v>
      </c>
    </row>
    <row r="8" spans="1:4">
      <c r="A8" s="7">
        <v>6</v>
      </c>
      <c r="B8" s="7" t="s">
        <v>51</v>
      </c>
      <c r="C8" s="7" t="s">
        <v>52</v>
      </c>
      <c r="D8" s="7">
        <v>1.2</v>
      </c>
    </row>
    <row r="9" spans="1:4">
      <c r="A9" s="7">
        <v>7</v>
      </c>
      <c r="B9" s="7" t="s">
        <v>53</v>
      </c>
      <c r="C9" s="7" t="s">
        <v>54</v>
      </c>
      <c r="D9" s="7">
        <v>1</v>
      </c>
    </row>
    <row r="10" spans="1:4">
      <c r="A10" s="7">
        <v>8</v>
      </c>
      <c r="B10" s="7" t="s">
        <v>55</v>
      </c>
      <c r="C10" s="7" t="s">
        <v>56</v>
      </c>
      <c r="D10" s="7">
        <v>0</v>
      </c>
    </row>
    <row r="11" spans="1:4">
      <c r="A11" s="7">
        <v>9</v>
      </c>
      <c r="B11" s="7" t="s">
        <v>57</v>
      </c>
      <c r="C11" s="7" t="s">
        <v>58</v>
      </c>
      <c r="D11" s="7">
        <v>0.75</v>
      </c>
    </row>
    <row r="12" spans="1:4">
      <c r="A12" s="7">
        <v>10</v>
      </c>
      <c r="B12" s="7" t="s">
        <v>59</v>
      </c>
      <c r="C12" s="7" t="s">
        <v>60</v>
      </c>
      <c r="D12" s="7">
        <v>0.3</v>
      </c>
    </row>
    <row r="13" spans="1:4">
      <c r="A13" s="7">
        <v>11</v>
      </c>
      <c r="B13" s="7" t="s">
        <v>61</v>
      </c>
      <c r="C13" s="7" t="s">
        <v>62</v>
      </c>
      <c r="D13" s="7">
        <v>0.3</v>
      </c>
    </row>
    <row r="14" spans="1:4">
      <c r="A14" s="7">
        <v>12</v>
      </c>
      <c r="B14" s="7" t="s">
        <v>63</v>
      </c>
      <c r="C14" s="7" t="s">
        <v>64</v>
      </c>
      <c r="D14" s="7">
        <v>1.5</v>
      </c>
    </row>
    <row r="15" spans="1:4">
      <c r="A15" s="7">
        <v>13</v>
      </c>
      <c r="B15" s="7" t="s">
        <v>65</v>
      </c>
      <c r="C15" s="7" t="s">
        <v>66</v>
      </c>
      <c r="D15" s="7">
        <v>1.35</v>
      </c>
    </row>
    <row r="16" spans="1:4">
      <c r="A16" s="7">
        <v>14</v>
      </c>
      <c r="B16" s="7" t="s">
        <v>67</v>
      </c>
      <c r="C16" s="7" t="s">
        <v>68</v>
      </c>
      <c r="D16" s="7">
        <v>0.85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6"/>
  <sheetViews>
    <sheetView workbookViewId="0">
      <selection activeCell="E23" sqref="E23"/>
    </sheetView>
  </sheetViews>
  <sheetFormatPr defaultColWidth="8.88671875" defaultRowHeight="14.4"/>
  <cols>
    <col min="1" max="1" width="9.44140625" customWidth="1"/>
    <col min="2" max="2" width="21.21875" customWidth="1"/>
    <col min="3" max="3" width="27.6640625" customWidth="1"/>
    <col min="4" max="4" width="22.21875" customWidth="1"/>
  </cols>
  <sheetData>
    <row r="1" spans="1:21" ht="15.6">
      <c r="A1" s="33" t="s">
        <v>71</v>
      </c>
      <c r="B1" s="33"/>
      <c r="C1" s="33"/>
      <c r="D1" s="33"/>
      <c r="E1" s="17"/>
      <c r="F1" s="17"/>
      <c r="G1" s="17"/>
      <c r="H1" s="17"/>
      <c r="I1" s="17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</row>
    <row r="2" spans="1:21" ht="15.6">
      <c r="A2" s="16" t="s">
        <v>36</v>
      </c>
      <c r="B2" s="16" t="s">
        <v>11</v>
      </c>
      <c r="C2" s="16" t="s">
        <v>37</v>
      </c>
      <c r="D2" s="16" t="s">
        <v>71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</row>
    <row r="3" spans="1:21" ht="15.6">
      <c r="A3" s="7">
        <v>1</v>
      </c>
      <c r="B3" s="7" t="s">
        <v>41</v>
      </c>
      <c r="C3" s="7" t="s">
        <v>72</v>
      </c>
      <c r="D3" s="7">
        <v>4.2</v>
      </c>
      <c r="E3" s="8"/>
      <c r="F3" s="8"/>
      <c r="G3" s="8"/>
      <c r="H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</row>
    <row r="4" spans="1:21" ht="15.6">
      <c r="A4" s="7">
        <v>2</v>
      </c>
      <c r="B4" s="7" t="s">
        <v>43</v>
      </c>
      <c r="C4" s="7" t="s">
        <v>44</v>
      </c>
      <c r="D4" s="7">
        <v>5.8</v>
      </c>
      <c r="E4" s="8"/>
      <c r="F4" s="8"/>
      <c r="G4" s="8"/>
      <c r="H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r="5" spans="1:21" ht="15.6">
      <c r="A5" s="7">
        <v>3</v>
      </c>
      <c r="B5" s="7" t="s">
        <v>45</v>
      </c>
      <c r="C5" s="7" t="s">
        <v>46</v>
      </c>
      <c r="D5" s="7">
        <v>5.8</v>
      </c>
      <c r="E5" s="8"/>
      <c r="F5" s="8"/>
      <c r="G5" s="8"/>
      <c r="H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 spans="1:21" ht="15.6">
      <c r="A6" s="7">
        <v>4</v>
      </c>
      <c r="B6" s="7" t="s">
        <v>47</v>
      </c>
      <c r="C6" s="7" t="s">
        <v>48</v>
      </c>
      <c r="D6" s="7">
        <v>4.5</v>
      </c>
      <c r="E6" s="8"/>
      <c r="F6" s="8"/>
      <c r="G6" s="8"/>
      <c r="H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r="7" spans="1:21" ht="15.6">
      <c r="A7" s="7">
        <v>5</v>
      </c>
      <c r="B7" s="7" t="s">
        <v>49</v>
      </c>
      <c r="C7" s="7" t="s">
        <v>50</v>
      </c>
      <c r="D7" s="7">
        <v>5.5</v>
      </c>
      <c r="E7" s="8"/>
      <c r="F7" s="8"/>
      <c r="G7" s="8"/>
      <c r="H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8" spans="1:21" ht="15.6">
      <c r="A8" s="7">
        <v>6</v>
      </c>
      <c r="B8" s="7" t="s">
        <v>51</v>
      </c>
      <c r="C8" s="7" t="s">
        <v>52</v>
      </c>
      <c r="D8" s="7">
        <v>7.5</v>
      </c>
      <c r="E8" s="8"/>
      <c r="F8" s="8"/>
      <c r="G8" s="8"/>
      <c r="H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</row>
    <row r="9" spans="1:21" ht="15.6">
      <c r="A9" s="7">
        <v>7</v>
      </c>
      <c r="B9" s="7" t="s">
        <v>53</v>
      </c>
      <c r="C9" s="7" t="s">
        <v>54</v>
      </c>
      <c r="D9" s="7">
        <v>5.3</v>
      </c>
      <c r="E9" s="8"/>
      <c r="F9" s="8"/>
      <c r="G9" s="8"/>
      <c r="H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 spans="1:21" ht="15.6">
      <c r="A10" s="7">
        <v>8</v>
      </c>
      <c r="B10" s="7" t="s">
        <v>55</v>
      </c>
      <c r="C10" s="7" t="s">
        <v>56</v>
      </c>
      <c r="D10" s="7">
        <v>6.8</v>
      </c>
      <c r="E10" s="8"/>
      <c r="F10" s="8"/>
      <c r="G10" s="8"/>
      <c r="H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spans="1:21" ht="15.6">
      <c r="A11" s="7">
        <v>9</v>
      </c>
      <c r="B11" s="7" t="s">
        <v>57</v>
      </c>
      <c r="C11" s="7" t="s">
        <v>58</v>
      </c>
      <c r="D11" s="7">
        <v>6.3</v>
      </c>
      <c r="E11" s="8"/>
      <c r="F11" s="8"/>
      <c r="G11" s="8"/>
      <c r="H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 spans="1:21" ht="15.6">
      <c r="A12" s="7">
        <v>10</v>
      </c>
      <c r="B12" s="7" t="s">
        <v>59</v>
      </c>
      <c r="C12" s="7" t="s">
        <v>60</v>
      </c>
      <c r="D12" s="7">
        <v>8.3000000000000007</v>
      </c>
      <c r="E12" s="8"/>
      <c r="F12" s="8"/>
      <c r="G12" s="8"/>
      <c r="H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 spans="1:21" ht="15.6">
      <c r="A13" s="7">
        <v>11</v>
      </c>
      <c r="B13" s="7" t="s">
        <v>61</v>
      </c>
      <c r="C13" s="7" t="s">
        <v>62</v>
      </c>
      <c r="D13" s="7">
        <v>-3</v>
      </c>
      <c r="E13" s="8"/>
      <c r="F13" s="8"/>
      <c r="G13" s="8"/>
      <c r="H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</row>
    <row r="14" spans="1:21" ht="15.6">
      <c r="A14" s="7">
        <v>12</v>
      </c>
      <c r="B14" s="7" t="s">
        <v>63</v>
      </c>
      <c r="C14" s="7" t="s">
        <v>64</v>
      </c>
      <c r="D14" s="7">
        <v>7</v>
      </c>
      <c r="E14" s="8"/>
      <c r="F14" s="8"/>
      <c r="G14" s="8"/>
      <c r="H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</row>
    <row r="15" spans="1:21" ht="15.6">
      <c r="A15" s="7">
        <v>13</v>
      </c>
      <c r="B15" s="7" t="s">
        <v>65</v>
      </c>
      <c r="C15" s="7" t="s">
        <v>66</v>
      </c>
      <c r="D15" s="7">
        <v>-3</v>
      </c>
      <c r="E15" s="8"/>
      <c r="F15" s="8"/>
      <c r="G15" s="8"/>
      <c r="H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</row>
    <row r="16" spans="1:21" ht="15.6">
      <c r="A16" s="7">
        <v>14</v>
      </c>
      <c r="B16" s="7" t="s">
        <v>67</v>
      </c>
      <c r="C16" s="7" t="s">
        <v>68</v>
      </c>
      <c r="D16" s="7">
        <v>6.5</v>
      </c>
      <c r="E16" s="8"/>
      <c r="F16" s="8"/>
      <c r="G16" s="8"/>
      <c r="H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</row>
    <row r="17" spans="1:21" ht="15.6">
      <c r="A17" s="8"/>
      <c r="B17" s="8"/>
      <c r="C17" s="8"/>
      <c r="D17" s="8"/>
      <c r="E17" s="8"/>
      <c r="F17" s="8"/>
      <c r="G17" s="8"/>
      <c r="H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</row>
    <row r="18" spans="1:21" ht="15.6">
      <c r="A18" s="8"/>
      <c r="B18" s="8"/>
      <c r="C18" s="8"/>
      <c r="D18" s="8"/>
      <c r="E18" s="8"/>
      <c r="F18" s="8"/>
      <c r="G18" s="8"/>
      <c r="H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</row>
    <row r="19" spans="1:21" ht="15.6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</row>
    <row r="20" spans="1:21" ht="15.6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</row>
    <row r="21" spans="1:21" ht="15.6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</row>
    <row r="22" spans="1:21" ht="15.6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</row>
    <row r="23" spans="1:21" ht="15.6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</row>
    <row r="24" spans="1:21" ht="15.6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</row>
    <row r="25" spans="1:21" ht="15.6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</row>
    <row r="26" spans="1:21" ht="15.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5"/>
  <sheetViews>
    <sheetView tabSelected="1" topLeftCell="A4" workbookViewId="0">
      <selection activeCell="I14" sqref="I14"/>
    </sheetView>
  </sheetViews>
  <sheetFormatPr defaultColWidth="8.88671875" defaultRowHeight="14.4"/>
  <cols>
    <col min="1" max="1" width="24.5546875" customWidth="1"/>
    <col min="2" max="2" width="22.5546875" customWidth="1"/>
    <col min="3" max="3" width="22.44140625" customWidth="1"/>
    <col min="4" max="4" width="5.21875" customWidth="1"/>
    <col min="5" max="5" width="25.6640625" customWidth="1"/>
    <col min="6" max="6" width="18.77734375" customWidth="1"/>
  </cols>
  <sheetData>
    <row r="1" spans="1:14" ht="17.399999999999999">
      <c r="A1" s="34" t="s">
        <v>73</v>
      </c>
      <c r="B1" s="34"/>
      <c r="C1" s="34"/>
      <c r="D1" s="7"/>
      <c r="E1" s="34" t="s">
        <v>74</v>
      </c>
      <c r="F1" s="34"/>
      <c r="G1" s="8"/>
      <c r="H1" s="8"/>
      <c r="I1" s="8"/>
      <c r="J1" s="8"/>
      <c r="K1" s="8"/>
      <c r="L1" s="8"/>
      <c r="M1" s="8"/>
      <c r="N1" s="8"/>
    </row>
    <row r="2" spans="1:14" ht="15.6">
      <c r="A2" s="9" t="s">
        <v>75</v>
      </c>
      <c r="B2" s="9" t="s">
        <v>76</v>
      </c>
      <c r="C2" s="9" t="s">
        <v>77</v>
      </c>
      <c r="D2" s="7"/>
      <c r="E2" s="9" t="s">
        <v>78</v>
      </c>
      <c r="F2" s="9" t="s">
        <v>79</v>
      </c>
      <c r="G2" s="8"/>
      <c r="H2" s="8"/>
      <c r="I2" s="8"/>
      <c r="J2" s="8"/>
      <c r="K2" s="8"/>
      <c r="L2" s="8"/>
      <c r="M2" s="8"/>
      <c r="N2" s="8"/>
    </row>
    <row r="3" spans="1:14" ht="15.6">
      <c r="A3" s="7">
        <v>0</v>
      </c>
      <c r="B3" s="7" t="s">
        <v>80</v>
      </c>
      <c r="C3" s="7">
        <v>0</v>
      </c>
      <c r="D3" s="7"/>
      <c r="E3" s="7">
        <v>0</v>
      </c>
      <c r="F3" s="7">
        <v>1</v>
      </c>
      <c r="G3" s="8"/>
      <c r="H3" s="8"/>
      <c r="I3" s="8"/>
      <c r="J3" s="8"/>
      <c r="K3" s="8"/>
      <c r="L3" s="8"/>
      <c r="M3" s="8"/>
      <c r="N3" s="8"/>
    </row>
    <row r="4" spans="1:14" ht="15.6">
      <c r="A4" s="7">
        <v>4</v>
      </c>
      <c r="B4" s="7" t="s">
        <v>81</v>
      </c>
      <c r="C4" s="7">
        <v>1</v>
      </c>
      <c r="D4" s="7"/>
      <c r="E4" s="7">
        <v>1</v>
      </c>
      <c r="F4" s="7">
        <v>0.5</v>
      </c>
      <c r="G4" s="8"/>
      <c r="H4" s="8"/>
      <c r="I4" s="8"/>
      <c r="J4" s="8"/>
      <c r="K4" s="8"/>
      <c r="L4" s="8"/>
      <c r="M4" s="8"/>
      <c r="N4" s="8"/>
    </row>
    <row r="5" spans="1:14" ht="15.6">
      <c r="A5" s="7">
        <v>5</v>
      </c>
      <c r="B5" s="7" t="s">
        <v>82</v>
      </c>
      <c r="C5" s="7">
        <v>1.5</v>
      </c>
      <c r="D5" s="7"/>
      <c r="E5" s="7">
        <v>2</v>
      </c>
      <c r="F5" s="7">
        <v>0.25</v>
      </c>
      <c r="G5" s="8"/>
      <c r="H5" s="8"/>
      <c r="I5" s="8"/>
      <c r="J5" s="8"/>
      <c r="K5" s="8"/>
      <c r="L5" s="8"/>
      <c r="M5" s="8"/>
      <c r="N5" s="8"/>
    </row>
    <row r="6" spans="1:14" ht="15.6">
      <c r="A6" s="7">
        <v>5.5</v>
      </c>
      <c r="B6" s="7" t="s">
        <v>83</v>
      </c>
      <c r="C6" s="7">
        <v>2</v>
      </c>
      <c r="D6" s="7"/>
      <c r="E6" s="7"/>
      <c r="F6" s="7"/>
      <c r="G6" s="8"/>
      <c r="H6" s="8"/>
      <c r="I6" s="8"/>
      <c r="J6" s="8"/>
      <c r="K6" s="8"/>
      <c r="L6" s="8"/>
      <c r="M6" s="8"/>
      <c r="N6" s="8"/>
    </row>
    <row r="7" spans="1:14" ht="15.6">
      <c r="A7" s="7">
        <v>6.5</v>
      </c>
      <c r="B7" s="7" t="s">
        <v>84</v>
      </c>
      <c r="C7" s="7">
        <v>2.5</v>
      </c>
      <c r="D7" s="7"/>
      <c r="E7" s="7"/>
      <c r="F7" s="7"/>
      <c r="G7" s="8"/>
      <c r="H7" s="8"/>
      <c r="I7" s="8"/>
      <c r="J7" s="8"/>
      <c r="K7" s="8"/>
      <c r="L7" s="8"/>
      <c r="M7" s="8"/>
      <c r="N7" s="8"/>
    </row>
    <row r="8" spans="1:14" ht="15.6">
      <c r="A8" s="7">
        <v>7</v>
      </c>
      <c r="B8" s="7" t="s">
        <v>85</v>
      </c>
      <c r="C8" s="7">
        <v>3</v>
      </c>
      <c r="D8" s="7"/>
      <c r="E8" s="7"/>
      <c r="F8" s="7"/>
      <c r="G8" s="8"/>
      <c r="H8" s="8"/>
      <c r="I8" s="8"/>
      <c r="J8" s="8"/>
      <c r="K8" s="8"/>
      <c r="L8" s="8"/>
      <c r="M8" s="8"/>
      <c r="N8" s="8"/>
    </row>
    <row r="9" spans="1:14" ht="15.6">
      <c r="A9" s="7">
        <v>8</v>
      </c>
      <c r="B9" s="7" t="s">
        <v>86</v>
      </c>
      <c r="C9" s="7">
        <v>3.5</v>
      </c>
      <c r="D9" s="7"/>
      <c r="E9" s="7"/>
      <c r="F9" s="7"/>
      <c r="G9" s="8"/>
      <c r="H9" s="8"/>
      <c r="I9" s="8"/>
      <c r="J9" s="8"/>
      <c r="K9" s="8"/>
      <c r="L9" s="8"/>
      <c r="M9" s="8"/>
      <c r="N9" s="8"/>
    </row>
    <row r="10" spans="1:14" ht="15.6">
      <c r="A10" s="7">
        <v>9</v>
      </c>
      <c r="B10" s="7" t="s">
        <v>87</v>
      </c>
      <c r="C10" s="7">
        <v>4</v>
      </c>
      <c r="D10" s="7"/>
      <c r="E10" s="7"/>
      <c r="F10" s="7"/>
      <c r="G10" s="8"/>
      <c r="H10" s="8"/>
      <c r="I10" s="8"/>
      <c r="J10" s="8"/>
      <c r="K10" s="8"/>
      <c r="L10" s="8"/>
      <c r="M10" s="8"/>
      <c r="N10" s="8"/>
    </row>
    <row r="11" spans="1:14" ht="27" customHeight="1">
      <c r="A11" s="42"/>
      <c r="B11" s="42"/>
      <c r="C11" s="42"/>
      <c r="D11" s="43"/>
      <c r="E11" s="43"/>
      <c r="F11" s="43"/>
      <c r="G11" s="8"/>
      <c r="H11" s="8"/>
      <c r="I11" s="8"/>
      <c r="J11" s="8"/>
      <c r="K11" s="8"/>
      <c r="L11" s="8"/>
      <c r="M11" s="8"/>
      <c r="N11" s="8"/>
    </row>
    <row r="12" spans="1:14" ht="28.05" customHeight="1">
      <c r="A12" s="34" t="s">
        <v>88</v>
      </c>
      <c r="B12" s="34"/>
      <c r="C12" s="34"/>
      <c r="D12" s="7"/>
      <c r="E12" s="35" t="s">
        <v>89</v>
      </c>
      <c r="F12" s="35"/>
      <c r="G12" s="8"/>
      <c r="H12" s="8"/>
      <c r="I12" s="8"/>
      <c r="J12" s="8"/>
      <c r="K12" s="8"/>
      <c r="L12" s="8"/>
      <c r="M12" s="8"/>
      <c r="N12" s="8"/>
    </row>
    <row r="13" spans="1:14" ht="30" customHeight="1">
      <c r="A13" s="11" t="s">
        <v>36</v>
      </c>
      <c r="B13" s="9" t="s">
        <v>11</v>
      </c>
      <c r="C13" s="9" t="s">
        <v>12</v>
      </c>
      <c r="D13" s="7"/>
      <c r="E13" s="9" t="s">
        <v>76</v>
      </c>
      <c r="F13" s="12" t="s">
        <v>90</v>
      </c>
      <c r="G13" s="8"/>
      <c r="H13" s="8"/>
      <c r="I13" s="8"/>
      <c r="J13" s="8"/>
      <c r="K13" s="8"/>
      <c r="L13" s="8"/>
      <c r="M13" s="8"/>
      <c r="N13" s="8"/>
    </row>
    <row r="14" spans="1:14" ht="15.6">
      <c r="A14" s="7">
        <v>1</v>
      </c>
      <c r="B14" s="7" t="s">
        <v>47</v>
      </c>
      <c r="C14" s="7" t="s">
        <v>48</v>
      </c>
      <c r="D14" s="7"/>
      <c r="E14" s="7" t="s">
        <v>87</v>
      </c>
      <c r="F14" s="44">
        <f>COUNTIF('Tổng hợp điểm'!K:K,E16)</f>
        <v>2</v>
      </c>
      <c r="G14" s="8"/>
      <c r="H14" s="8"/>
      <c r="I14" s="8"/>
      <c r="J14" s="8"/>
      <c r="K14" s="8"/>
      <c r="L14" s="8"/>
      <c r="M14" s="8"/>
      <c r="N14" s="8"/>
    </row>
    <row r="15" spans="1:14" ht="15.6">
      <c r="A15" s="7">
        <v>2</v>
      </c>
      <c r="B15" s="7" t="s">
        <v>55</v>
      </c>
      <c r="C15" s="7" t="s">
        <v>56</v>
      </c>
      <c r="D15" s="7"/>
      <c r="E15" s="7" t="s">
        <v>86</v>
      </c>
      <c r="F15" s="44">
        <f>COUNTIF('Tổng hợp điểm'!K:K,E17)</f>
        <v>2</v>
      </c>
      <c r="G15" s="8"/>
      <c r="H15" s="8"/>
      <c r="I15" s="8"/>
      <c r="J15" s="8"/>
      <c r="K15" s="8"/>
      <c r="L15" s="8"/>
      <c r="M15" s="8"/>
      <c r="N15" s="8"/>
    </row>
    <row r="16" spans="1:14" ht="15.6">
      <c r="A16" s="7">
        <v>3</v>
      </c>
      <c r="B16" s="7" t="s">
        <v>57</v>
      </c>
      <c r="C16" s="7" t="s">
        <v>58</v>
      </c>
      <c r="D16" s="7"/>
      <c r="E16" s="7" t="s">
        <v>85</v>
      </c>
      <c r="F16" s="44">
        <f>COUNTIF('Tổng hợp điểm'!K:K,E18)</f>
        <v>5</v>
      </c>
      <c r="G16" s="8"/>
      <c r="H16" s="8"/>
      <c r="I16" s="8"/>
      <c r="J16" s="8"/>
      <c r="K16" s="8"/>
      <c r="L16" s="8"/>
      <c r="M16" s="8"/>
      <c r="N16" s="8"/>
    </row>
    <row r="17" spans="1:14" ht="15.6">
      <c r="A17" s="7">
        <v>4</v>
      </c>
      <c r="B17" s="7" t="s">
        <v>53</v>
      </c>
      <c r="C17" s="7" t="s">
        <v>54</v>
      </c>
      <c r="D17" s="7"/>
      <c r="E17" s="7" t="s">
        <v>84</v>
      </c>
      <c r="F17" s="44">
        <f>COUNTIF('Tổng hợp điểm'!K:K,E19)</f>
        <v>1</v>
      </c>
      <c r="G17" s="8"/>
      <c r="H17" s="8"/>
      <c r="I17" s="8"/>
      <c r="J17" s="8"/>
      <c r="K17" s="8"/>
      <c r="L17" s="8"/>
      <c r="M17" s="8"/>
      <c r="N17" s="8"/>
    </row>
    <row r="18" spans="1:14" ht="15.6">
      <c r="A18" s="7">
        <v>5</v>
      </c>
      <c r="B18" s="7" t="s">
        <v>49</v>
      </c>
      <c r="C18" s="7" t="s">
        <v>50</v>
      </c>
      <c r="D18" s="7"/>
      <c r="E18" s="7" t="s">
        <v>83</v>
      </c>
      <c r="F18" s="44">
        <f>COUNTIF('Tổng hợp điểm'!K:K,E20)</f>
        <v>0</v>
      </c>
      <c r="G18" s="8"/>
      <c r="H18" s="8"/>
      <c r="I18" s="8"/>
      <c r="J18" s="8"/>
      <c r="K18" s="8"/>
      <c r="L18" s="8"/>
      <c r="M18" s="8"/>
      <c r="N18" s="8"/>
    </row>
    <row r="19" spans="1:14" ht="15.6">
      <c r="A19" s="7">
        <v>6</v>
      </c>
      <c r="B19" s="7" t="s">
        <v>43</v>
      </c>
      <c r="C19" s="7" t="s">
        <v>44</v>
      </c>
      <c r="D19" s="7"/>
      <c r="E19" s="7" t="s">
        <v>82</v>
      </c>
      <c r="F19" s="44">
        <f>COUNTIF('Tổng hợp điểm'!K:K,E21)</f>
        <v>3</v>
      </c>
      <c r="G19" s="8"/>
      <c r="H19" s="8"/>
      <c r="I19" s="8"/>
      <c r="J19" s="8"/>
      <c r="K19" s="8"/>
      <c r="L19" s="8"/>
      <c r="M19" s="8"/>
      <c r="N19" s="8"/>
    </row>
    <row r="20" spans="1:14" ht="15.6">
      <c r="A20" s="7">
        <v>7</v>
      </c>
      <c r="B20" s="7" t="s">
        <v>61</v>
      </c>
      <c r="C20" s="7" t="s">
        <v>62</v>
      </c>
      <c r="D20" s="7"/>
      <c r="E20" s="7" t="s">
        <v>81</v>
      </c>
      <c r="F20" s="44">
        <f>COUNTIF('Tổng hợp điểm'!K:K,E22)</f>
        <v>0</v>
      </c>
      <c r="G20" s="8"/>
      <c r="H20" s="8"/>
      <c r="I20" s="8"/>
      <c r="J20" s="8"/>
      <c r="K20" s="8"/>
      <c r="L20" s="8"/>
      <c r="M20" s="8"/>
      <c r="N20" s="8"/>
    </row>
    <row r="21" spans="1:14" ht="15.6">
      <c r="A21" s="7">
        <v>8</v>
      </c>
      <c r="B21" s="7" t="s">
        <v>67</v>
      </c>
      <c r="C21" s="7" t="s">
        <v>68</v>
      </c>
      <c r="D21" s="7"/>
      <c r="E21" s="7" t="s">
        <v>80</v>
      </c>
      <c r="F21" s="44">
        <f>COUNTIF('Tổng hợp điểm'!K:K,E23)</f>
        <v>0</v>
      </c>
      <c r="G21" s="8"/>
      <c r="H21" s="8"/>
      <c r="I21" s="8"/>
      <c r="J21" s="8"/>
      <c r="K21" s="8"/>
      <c r="L21" s="8"/>
      <c r="M21" s="8"/>
      <c r="N21" s="8"/>
    </row>
    <row r="22" spans="1:14" ht="15.6">
      <c r="A22" s="13">
        <v>9</v>
      </c>
      <c r="B22" s="7" t="s">
        <v>63</v>
      </c>
      <c r="C22" s="7" t="s">
        <v>64</v>
      </c>
      <c r="D22" s="7"/>
      <c r="E22" s="7"/>
      <c r="F22" s="7"/>
      <c r="G22" s="8"/>
      <c r="H22" s="8"/>
      <c r="I22" s="8"/>
      <c r="J22" s="8"/>
      <c r="K22" s="8"/>
      <c r="L22" s="8"/>
      <c r="M22" s="8"/>
      <c r="N22" s="8"/>
    </row>
    <row r="23" spans="1:14" ht="15.6">
      <c r="A23" s="13">
        <v>10</v>
      </c>
      <c r="B23" s="7" t="s">
        <v>45</v>
      </c>
      <c r="C23" s="7" t="s">
        <v>46</v>
      </c>
      <c r="D23" s="10"/>
      <c r="E23" s="35" t="s">
        <v>91</v>
      </c>
      <c r="F23" s="35"/>
      <c r="G23" s="14"/>
      <c r="H23" s="8"/>
      <c r="I23" s="8"/>
      <c r="J23" s="8"/>
      <c r="K23" s="8"/>
      <c r="L23" s="8"/>
      <c r="M23" s="8"/>
      <c r="N23" s="8"/>
    </row>
    <row r="24" spans="1:14" ht="15.6" customHeight="1">
      <c r="A24" s="7">
        <v>11</v>
      </c>
      <c r="B24" s="7" t="s">
        <v>59</v>
      </c>
      <c r="C24" s="7" t="s">
        <v>60</v>
      </c>
      <c r="D24" s="10"/>
      <c r="E24" s="39" t="s">
        <v>93</v>
      </c>
      <c r="F24" s="36">
        <f>COUNTIFS('Tổng hợp điểm'!G:G,0)+COUNTIFS('Tổng hợp điểm'!H:H,-3)</f>
        <v>3</v>
      </c>
      <c r="G24" s="15"/>
      <c r="H24" s="8"/>
      <c r="I24" s="8"/>
      <c r="J24" s="8"/>
      <c r="K24" s="8"/>
      <c r="L24" s="8"/>
      <c r="M24" s="8"/>
      <c r="N24" s="8"/>
    </row>
    <row r="25" spans="1:14" ht="15.6">
      <c r="A25" s="7">
        <v>12</v>
      </c>
      <c r="B25" s="7" t="s">
        <v>41</v>
      </c>
      <c r="C25" s="7" t="s">
        <v>42</v>
      </c>
      <c r="D25" s="10"/>
      <c r="E25" s="40"/>
      <c r="F25" s="37"/>
      <c r="G25" s="15"/>
      <c r="H25" s="8"/>
      <c r="I25" s="8"/>
      <c r="J25" s="8"/>
      <c r="K25" s="8"/>
      <c r="L25" s="8"/>
      <c r="M25" s="8"/>
      <c r="N25" s="8"/>
    </row>
    <row r="26" spans="1:14" ht="15.6">
      <c r="A26" s="7">
        <v>13</v>
      </c>
      <c r="B26" s="7" t="s">
        <v>51</v>
      </c>
      <c r="C26" s="7" t="s">
        <v>52</v>
      </c>
      <c r="D26" s="10"/>
      <c r="E26" s="41"/>
      <c r="F26" s="38"/>
      <c r="G26" s="15"/>
      <c r="H26" s="8"/>
      <c r="I26" s="8"/>
      <c r="J26" s="8"/>
      <c r="K26" s="8"/>
      <c r="L26" s="8"/>
      <c r="M26" s="8"/>
      <c r="N26" s="8"/>
    </row>
    <row r="27" spans="1:14" ht="15.6">
      <c r="A27" s="7">
        <v>14</v>
      </c>
      <c r="B27" s="7" t="s">
        <v>65</v>
      </c>
      <c r="C27" s="7" t="s">
        <v>66</v>
      </c>
      <c r="D27" s="10"/>
      <c r="E27" s="45" t="s">
        <v>92</v>
      </c>
      <c r="F27" s="7">
        <f>COUNTIFS('Tổng hợp điểm'!D:D,0,'Tổng hợp điểm'!E:E,0,'Tổng hợp điểm'!F:F,0)</f>
        <v>0</v>
      </c>
      <c r="G27" s="8"/>
      <c r="H27" s="8"/>
      <c r="I27" s="8"/>
      <c r="J27" s="8"/>
      <c r="K27" s="8"/>
      <c r="L27" s="8"/>
      <c r="M27" s="8"/>
      <c r="N27" s="8"/>
    </row>
    <row r="28" spans="1:14" ht="15.6">
      <c r="A28" s="8"/>
      <c r="B28" s="8"/>
      <c r="C28" s="8"/>
      <c r="D28" s="8"/>
      <c r="E28" s="8"/>
      <c r="G28" s="8"/>
      <c r="H28" s="8"/>
      <c r="I28" s="8"/>
      <c r="J28" s="8"/>
      <c r="K28" s="8"/>
      <c r="L28" s="8"/>
      <c r="M28" s="8"/>
      <c r="N28" s="8"/>
    </row>
    <row r="29" spans="1:14" ht="15.6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</row>
    <row r="30" spans="1:14" ht="15.6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</row>
    <row r="31" spans="1:14" ht="15.6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</row>
    <row r="32" spans="1:14" ht="15.6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</row>
    <row r="33" spans="1:14" ht="15.6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</row>
    <row r="34" spans="1:14" ht="15.6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  <row r="35" spans="1:14" ht="15.6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</row>
    <row r="36" spans="1:14" ht="15.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</row>
    <row r="37" spans="1:14" ht="15.6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</row>
    <row r="38" spans="1:14" ht="15.6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</row>
    <row r="39" spans="1:14" ht="15.6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</row>
    <row r="40" spans="1:14" ht="15.6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</row>
    <row r="41" spans="1:14" ht="15.6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</row>
    <row r="42" spans="1:14" ht="15.6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1:14" ht="15.6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</row>
    <row r="44" spans="1:14" ht="15.6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</row>
    <row r="45" spans="1:14" ht="15.6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</row>
  </sheetData>
  <mergeCells count="7">
    <mergeCell ref="F24:F26"/>
    <mergeCell ref="E24:E26"/>
    <mergeCell ref="A1:C1"/>
    <mergeCell ref="E1:F1"/>
    <mergeCell ref="A12:C12"/>
    <mergeCell ref="E12:F12"/>
    <mergeCell ref="E23:F23"/>
  </mergeCells>
  <pageMargins left="0.75" right="0.75" top="1" bottom="1" header="0.5" footer="0.5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"/>
  <sheetViews>
    <sheetView workbookViewId="0">
      <selection activeCell="L11" sqref="L11"/>
    </sheetView>
  </sheetViews>
  <sheetFormatPr defaultColWidth="8.88671875" defaultRowHeight="14.4"/>
  <cols>
    <col min="2" max="2" width="11.21875" customWidth="1"/>
    <col min="3" max="3" width="18.33203125" customWidth="1"/>
  </cols>
  <sheetData>
    <row r="1" spans="1:11">
      <c r="A1" s="1">
        <v>1</v>
      </c>
      <c r="B1" s="6" t="s">
        <v>21</v>
      </c>
      <c r="C1" s="3" t="s">
        <v>42</v>
      </c>
      <c r="D1" s="3">
        <v>0.45</v>
      </c>
      <c r="E1" s="3">
        <v>0.25</v>
      </c>
      <c r="F1" s="3">
        <v>0.3</v>
      </c>
      <c r="G1" s="3">
        <v>0.5</v>
      </c>
      <c r="H1" s="3">
        <v>4.2</v>
      </c>
      <c r="I1" s="3">
        <v>4</v>
      </c>
      <c r="J1" s="4">
        <v>5</v>
      </c>
      <c r="K1" s="4" t="s">
        <v>82</v>
      </c>
    </row>
    <row r="2" spans="1:11">
      <c r="A2" s="1">
        <v>2</v>
      </c>
      <c r="B2" s="3" t="s">
        <v>22</v>
      </c>
      <c r="C2" s="3" t="s">
        <v>44</v>
      </c>
      <c r="D2" s="3">
        <v>0.5</v>
      </c>
      <c r="E2" s="3">
        <v>0.35</v>
      </c>
      <c r="F2" s="3">
        <v>0.4</v>
      </c>
      <c r="G2" s="3">
        <v>1</v>
      </c>
      <c r="H2" s="3">
        <v>5.8</v>
      </c>
      <c r="I2" s="3">
        <v>5.7</v>
      </c>
      <c r="J2" s="4">
        <v>6.2</v>
      </c>
      <c r="K2" s="4" t="s">
        <v>83</v>
      </c>
    </row>
    <row r="3" spans="1:11">
      <c r="A3" s="1">
        <v>3</v>
      </c>
      <c r="B3" s="2" t="s">
        <v>23</v>
      </c>
      <c r="C3" s="3" t="s">
        <v>46</v>
      </c>
      <c r="D3" s="3">
        <v>0.25</v>
      </c>
      <c r="E3" s="3">
        <v>0.25</v>
      </c>
      <c r="F3" s="3">
        <v>0.3</v>
      </c>
      <c r="G3" s="3">
        <v>0.5</v>
      </c>
      <c r="H3" s="3">
        <v>5.8</v>
      </c>
      <c r="I3" s="3">
        <v>4.8</v>
      </c>
      <c r="J3" s="4">
        <v>5.8</v>
      </c>
      <c r="K3" s="4" t="s">
        <v>83</v>
      </c>
    </row>
    <row r="4" spans="1:11">
      <c r="A4" s="1">
        <v>4</v>
      </c>
      <c r="B4" s="2" t="s">
        <v>24</v>
      </c>
      <c r="C4" s="3" t="s">
        <v>48</v>
      </c>
      <c r="D4" s="3">
        <v>0.4</v>
      </c>
      <c r="E4" s="3">
        <v>0.25</v>
      </c>
      <c r="F4" s="3">
        <v>0.35</v>
      </c>
      <c r="G4" s="3">
        <v>1</v>
      </c>
      <c r="H4" s="3">
        <v>4.5</v>
      </c>
      <c r="I4" s="3">
        <v>4.7</v>
      </c>
      <c r="J4" s="4">
        <v>5.7</v>
      </c>
      <c r="K4" s="4" t="s">
        <v>83</v>
      </c>
    </row>
    <row r="5" spans="1:11">
      <c r="A5" s="1">
        <v>5</v>
      </c>
      <c r="B5" s="2" t="s">
        <v>25</v>
      </c>
      <c r="C5" s="3" t="s">
        <v>50</v>
      </c>
      <c r="D5" s="3">
        <v>0.45</v>
      </c>
      <c r="E5" s="3">
        <v>0.4</v>
      </c>
      <c r="F5" s="3">
        <v>0.35</v>
      </c>
      <c r="G5" s="3">
        <v>0.75</v>
      </c>
      <c r="H5" s="3">
        <v>5.5</v>
      </c>
      <c r="I5" s="3">
        <v>5.3</v>
      </c>
      <c r="J5" s="4">
        <v>5.6</v>
      </c>
      <c r="K5" s="4" t="s">
        <v>83</v>
      </c>
    </row>
    <row r="6" spans="1:11">
      <c r="A6" s="1">
        <v>7</v>
      </c>
      <c r="B6" s="2" t="s">
        <v>27</v>
      </c>
      <c r="C6" s="3" t="s">
        <v>54</v>
      </c>
      <c r="D6" s="3">
        <v>0.4</v>
      </c>
      <c r="E6" s="3">
        <v>0.4</v>
      </c>
      <c r="F6" s="3">
        <v>0.4</v>
      </c>
      <c r="G6" s="3">
        <v>1</v>
      </c>
      <c r="H6" s="3">
        <v>5.3</v>
      </c>
      <c r="I6" s="3">
        <v>5.4</v>
      </c>
      <c r="J6" s="4">
        <v>6.4</v>
      </c>
      <c r="K6" s="4" t="s">
        <v>83</v>
      </c>
    </row>
    <row r="7" spans="1:11">
      <c r="A7" s="1">
        <v>8</v>
      </c>
      <c r="B7" s="2" t="s">
        <v>28</v>
      </c>
      <c r="C7" s="3" t="s">
        <v>56</v>
      </c>
      <c r="D7" s="3">
        <v>0.45</v>
      </c>
      <c r="E7" s="3">
        <v>0.4</v>
      </c>
      <c r="F7" s="3">
        <v>0.45</v>
      </c>
      <c r="G7" s="3">
        <v>0</v>
      </c>
      <c r="H7" s="3">
        <v>6.8</v>
      </c>
      <c r="I7" s="3">
        <v>5.4</v>
      </c>
      <c r="J7" s="4">
        <v>0</v>
      </c>
      <c r="K7" s="4" t="s">
        <v>80</v>
      </c>
    </row>
    <row r="8" spans="1:11">
      <c r="A8" s="1">
        <v>9</v>
      </c>
      <c r="B8" s="2" t="s">
        <v>29</v>
      </c>
      <c r="C8" s="3" t="s">
        <v>58</v>
      </c>
      <c r="D8" s="3">
        <v>0.45</v>
      </c>
      <c r="E8" s="3">
        <v>0.4</v>
      </c>
      <c r="F8" s="3">
        <v>0.4</v>
      </c>
      <c r="G8" s="3">
        <v>0.75</v>
      </c>
      <c r="H8" s="3">
        <v>6.3</v>
      </c>
      <c r="I8" s="3">
        <v>5.8</v>
      </c>
      <c r="J8" s="4">
        <v>6.8</v>
      </c>
      <c r="K8" s="4" t="s">
        <v>84</v>
      </c>
    </row>
    <row r="9" spans="1:11">
      <c r="A9" s="1">
        <v>11</v>
      </c>
      <c r="B9" s="2" t="s">
        <v>31</v>
      </c>
      <c r="C9" s="3" t="s">
        <v>62</v>
      </c>
      <c r="D9" s="3">
        <v>0.4</v>
      </c>
      <c r="E9" s="3">
        <v>0.45</v>
      </c>
      <c r="F9" s="3">
        <v>0.4</v>
      </c>
      <c r="G9" s="3">
        <v>0.3</v>
      </c>
      <c r="H9" s="3">
        <v>-3</v>
      </c>
      <c r="I9" s="3">
        <v>0</v>
      </c>
      <c r="J9" s="4">
        <v>0</v>
      </c>
      <c r="K9" s="4" t="s">
        <v>80</v>
      </c>
    </row>
    <row r="10" spans="1:11">
      <c r="A10" s="1">
        <v>13</v>
      </c>
      <c r="B10" s="2" t="s">
        <v>33</v>
      </c>
      <c r="C10" s="3" t="s">
        <v>66</v>
      </c>
      <c r="D10" s="3">
        <v>0.4</v>
      </c>
      <c r="E10" s="3">
        <v>0.4</v>
      </c>
      <c r="F10" s="3">
        <v>0.35</v>
      </c>
      <c r="G10" s="3">
        <v>1.35</v>
      </c>
      <c r="H10" s="3">
        <v>-3</v>
      </c>
      <c r="I10" s="3">
        <v>0</v>
      </c>
      <c r="J10" s="4">
        <v>0</v>
      </c>
      <c r="K10" s="4" t="s">
        <v>80</v>
      </c>
    </row>
    <row r="11" spans="1:11">
      <c r="A11" s="1">
        <v>14</v>
      </c>
      <c r="B11" s="2" t="s">
        <v>34</v>
      </c>
      <c r="C11" s="3" t="s">
        <v>68</v>
      </c>
      <c r="D11" s="3">
        <v>0.35</v>
      </c>
      <c r="E11" s="3">
        <v>0.4</v>
      </c>
      <c r="F11" s="3">
        <v>0</v>
      </c>
      <c r="G11" s="3">
        <v>0.85</v>
      </c>
      <c r="H11" s="3">
        <v>6.5</v>
      </c>
      <c r="I11" s="3">
        <v>5.5</v>
      </c>
      <c r="J11" s="4">
        <v>6.5</v>
      </c>
      <c r="K11" s="4" t="s">
        <v>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selection activeCell="D6" sqref="D6"/>
    </sheetView>
  </sheetViews>
  <sheetFormatPr defaultColWidth="8.88671875" defaultRowHeight="14.4"/>
  <cols>
    <col min="2" max="2" width="14.5546875" customWidth="1"/>
    <col min="3" max="3" width="19.77734375" customWidth="1"/>
  </cols>
  <sheetData>
    <row r="1" spans="1:11">
      <c r="A1" s="1">
        <v>6</v>
      </c>
      <c r="B1" s="2" t="s">
        <v>26</v>
      </c>
      <c r="C1" s="3" t="s">
        <v>52</v>
      </c>
      <c r="D1" s="3">
        <v>0.4</v>
      </c>
      <c r="E1" s="3">
        <v>0.45</v>
      </c>
      <c r="F1" s="3">
        <v>0.5</v>
      </c>
      <c r="G1" s="3">
        <v>1.2</v>
      </c>
      <c r="H1" s="3">
        <v>7.5</v>
      </c>
      <c r="I1" s="3">
        <v>7.1</v>
      </c>
      <c r="J1" s="4">
        <v>8.1</v>
      </c>
      <c r="K1" s="4" t="s">
        <v>86</v>
      </c>
    </row>
    <row r="2" spans="1:11">
      <c r="A2" s="1">
        <v>10</v>
      </c>
      <c r="B2" s="2" t="s">
        <v>30</v>
      </c>
      <c r="C2" s="3" t="s">
        <v>60</v>
      </c>
      <c r="D2" s="3">
        <v>0.3</v>
      </c>
      <c r="E2" s="3">
        <v>0.5</v>
      </c>
      <c r="F2" s="3">
        <v>0.45</v>
      </c>
      <c r="G2" s="3">
        <v>0.3</v>
      </c>
      <c r="H2" s="3">
        <v>8.3000000000000007</v>
      </c>
      <c r="I2" s="3">
        <v>6.5</v>
      </c>
      <c r="J2" s="4">
        <v>7</v>
      </c>
      <c r="K2" s="4" t="s">
        <v>85</v>
      </c>
    </row>
    <row r="3" spans="1:11">
      <c r="A3" s="1">
        <v>12</v>
      </c>
      <c r="B3" s="2" t="s">
        <v>32</v>
      </c>
      <c r="C3" s="3" t="s">
        <v>64</v>
      </c>
      <c r="D3" s="3">
        <v>0.5</v>
      </c>
      <c r="E3" s="3">
        <v>0.5</v>
      </c>
      <c r="F3" s="3">
        <v>0.45</v>
      </c>
      <c r="G3" s="3">
        <v>1.5</v>
      </c>
      <c r="H3" s="3">
        <v>7</v>
      </c>
      <c r="I3" s="3">
        <v>7.2</v>
      </c>
      <c r="J3" s="4">
        <v>7.5</v>
      </c>
      <c r="K3" s="4" t="s">
        <v>85</v>
      </c>
    </row>
    <row r="4" spans="1:11">
      <c r="A4" s="1"/>
      <c r="B4" s="2"/>
      <c r="C4" s="3"/>
      <c r="D4" s="3"/>
      <c r="E4" s="3"/>
      <c r="F4" s="3"/>
      <c r="G4" s="3"/>
      <c r="H4" s="3"/>
      <c r="I4" s="3"/>
      <c r="J4" s="5"/>
      <c r="K4" s="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Tổng hợp điểm</vt:lpstr>
      <vt:lpstr>Điểm thực hành các buổi</vt:lpstr>
      <vt:lpstr>Điểm bài tập lớn</vt:lpstr>
      <vt:lpstr>Điểm lý thuyết</vt:lpstr>
      <vt:lpstr>Các bản tham chiếu và thống kê</vt:lpstr>
      <vt:lpstr>Sinh viên điểm &lt; 7</vt:lpstr>
      <vt:lpstr>Sinh viên điểm &gt;=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HP</cp:lastModifiedBy>
  <dcterms:created xsi:type="dcterms:W3CDTF">2026-09-30T13:25:00Z</dcterms:created>
  <dcterms:modified xsi:type="dcterms:W3CDTF">2026-10-02T01:03:16Z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73F62301E0CC4D7AAC9B0C06BEEAA281_11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